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4"/>
  </bookViews>
  <sheets>
    <sheet name="vianet" sheetId="1" r:id="rId1"/>
    <sheet name="QUICK" sheetId="2" r:id="rId2"/>
    <sheet name="AIR" sheetId="3" r:id="rId3"/>
    <sheet name="illya" sheetId="5" r:id="rId4"/>
    <sheet name="SIMULCAST" sheetId="4" r:id="rId5"/>
    <sheet name="max" sheetId="7" r:id="rId6"/>
  </sheets>
  <calcPr calcId="124519"/>
</workbook>
</file>

<file path=xl/calcChain.xml><?xml version="1.0" encoding="utf-8"?>
<calcChain xmlns="http://schemas.openxmlformats.org/spreadsheetml/2006/main">
  <c r="H10" i="5"/>
  <c r="H11"/>
  <c r="H12" s="1"/>
  <c r="H13" s="1"/>
  <c r="H14" s="1"/>
  <c r="H9"/>
  <c r="H8"/>
  <c r="I14" i="3"/>
  <c r="I14" i="1"/>
  <c r="I15" s="1"/>
  <c r="I12"/>
  <c r="I13" s="1"/>
  <c r="I16" i="4"/>
  <c r="I17" s="1"/>
  <c r="I13" i="3" l="1"/>
  <c r="I11" i="1"/>
  <c r="I10" i="4"/>
  <c r="I11" s="1"/>
  <c r="I12" s="1"/>
  <c r="I13" s="1"/>
  <c r="I14" s="1"/>
  <c r="I15" s="1"/>
  <c r="G24"/>
  <c r="H24"/>
  <c r="I24" l="1"/>
  <c r="I10" i="1" l="1"/>
  <c r="I10" i="3" l="1"/>
  <c r="I11"/>
  <c r="I12" s="1"/>
  <c r="I9"/>
  <c r="I11" i="2" l="1"/>
  <c r="I9"/>
  <c r="I10" s="1"/>
  <c r="I9" i="1"/>
  <c r="I8"/>
</calcChain>
</file>

<file path=xl/sharedStrings.xml><?xml version="1.0" encoding="utf-8"?>
<sst xmlns="http://schemas.openxmlformats.org/spreadsheetml/2006/main" count="207" uniqueCount="121">
  <si>
    <t>s.no</t>
  </si>
  <si>
    <t xml:space="preserve">MITTI </t>
  </si>
  <si>
    <t>DATE</t>
  </si>
  <si>
    <t>PARTICULAR</t>
  </si>
  <si>
    <t>INVOICE NO</t>
  </si>
  <si>
    <t>CHQ NO</t>
  </si>
  <si>
    <t xml:space="preserve">AMOUNT DR </t>
  </si>
  <si>
    <t xml:space="preserve">AMOUNT CR </t>
  </si>
  <si>
    <t xml:space="preserve">BALANCE </t>
  </si>
  <si>
    <t xml:space="preserve">REMARKS </t>
  </si>
  <si>
    <t xml:space="preserve">VIANET COMMUNICATION LTD </t>
  </si>
  <si>
    <t>03.04.80</t>
  </si>
  <si>
    <t>19.07.23</t>
  </si>
  <si>
    <t>S18081-001249</t>
  </si>
  <si>
    <t xml:space="preserve">17.07.23-16.08.23 BROADBAND </t>
  </si>
  <si>
    <t>01.05.80</t>
  </si>
  <si>
    <t>18.08.23</t>
  </si>
  <si>
    <t>17.08.23-16.09.23</t>
  </si>
  <si>
    <t>S18081-048862</t>
  </si>
  <si>
    <t>24.08.23</t>
  </si>
  <si>
    <t>21.08.23-20.09.23</t>
  </si>
  <si>
    <t>S18081-058021</t>
  </si>
  <si>
    <t>QUICK FREIGHT LOGISTICS</t>
  </si>
  <si>
    <t>VAT NO -601222562</t>
  </si>
  <si>
    <t>CALL</t>
  </si>
  <si>
    <t>01-5906966</t>
  </si>
  <si>
    <t>07.04.80</t>
  </si>
  <si>
    <t>23.07.23</t>
  </si>
  <si>
    <t>QFL--80/81-25</t>
  </si>
  <si>
    <t>QFL--80/81-26</t>
  </si>
  <si>
    <t>QFL--80/81-27</t>
  </si>
  <si>
    <t>SHIPMENT</t>
  </si>
  <si>
    <t>28.07.23</t>
  </si>
  <si>
    <t>12.04.80</t>
  </si>
  <si>
    <t>PAYMENT</t>
  </si>
  <si>
    <t>IPS</t>
  </si>
  <si>
    <t xml:space="preserve">AIR CARGO CLEARING AND FORWARDING PVT LTD </t>
  </si>
  <si>
    <t>VAT NO -304953459</t>
  </si>
  <si>
    <t>01-4112108</t>
  </si>
  <si>
    <t>PP NO 36147</t>
  </si>
  <si>
    <t>25.07.23</t>
  </si>
  <si>
    <t>09.04.80</t>
  </si>
  <si>
    <t>09.04.80.</t>
  </si>
  <si>
    <t>PP NO 36121</t>
  </si>
  <si>
    <t>PP NO 36167</t>
  </si>
  <si>
    <t>PP NO 36780</t>
  </si>
  <si>
    <t>17.04.80</t>
  </si>
  <si>
    <t>02.08.23</t>
  </si>
  <si>
    <t>PP NO 37534</t>
  </si>
  <si>
    <t>SIMULCAST TECHNOLOGY PVT LTD</t>
  </si>
  <si>
    <t>25.03.80</t>
  </si>
  <si>
    <t>10.07.23</t>
  </si>
  <si>
    <t xml:space="preserve"> 23.07.23</t>
  </si>
  <si>
    <t>10.04.80</t>
  </si>
  <si>
    <t>26.07.23</t>
  </si>
  <si>
    <t>ADVANCE PAYMENT LOAN</t>
  </si>
  <si>
    <t xml:space="preserve">LOAN RETURN </t>
  </si>
  <si>
    <t>14.05.80</t>
  </si>
  <si>
    <t>31.08.23</t>
  </si>
  <si>
    <t>PAYMENT FOR MOHAN</t>
  </si>
  <si>
    <t>21.05.80</t>
  </si>
  <si>
    <t>07.09.23</t>
  </si>
  <si>
    <t xml:space="preserve">payment </t>
  </si>
  <si>
    <t>illya bhattarai dixit</t>
  </si>
  <si>
    <t>rent payable of shrawan</t>
  </si>
  <si>
    <t xml:space="preserve">rent paid </t>
  </si>
  <si>
    <t>01.06.80</t>
  </si>
  <si>
    <t xml:space="preserve">given to pramod agrahri </t>
  </si>
  <si>
    <t>14.09.23</t>
  </si>
  <si>
    <t>20.09.23</t>
  </si>
  <si>
    <t>PAYMENT RECEIVE</t>
  </si>
  <si>
    <t>SALES PAYMENT</t>
  </si>
  <si>
    <t xml:space="preserve">OPENING BALANCE </t>
  </si>
  <si>
    <t>LAST YEAR FORWARDED BALANCE</t>
  </si>
  <si>
    <t>18.09.23</t>
  </si>
  <si>
    <t>rent payable of bhado</t>
  </si>
  <si>
    <t>GIVEN TO BIPIN SIR</t>
  </si>
  <si>
    <t>05.06.80</t>
  </si>
  <si>
    <t>22.09.23</t>
  </si>
  <si>
    <t>17.09.23-16.10.23</t>
  </si>
  <si>
    <t>S18081-106611</t>
  </si>
  <si>
    <t>04.06.80</t>
  </si>
  <si>
    <t>21.09.23</t>
  </si>
  <si>
    <t>PP NO M45948</t>
  </si>
  <si>
    <t>25.09.23</t>
  </si>
  <si>
    <t>26.09.23</t>
  </si>
  <si>
    <t xml:space="preserve">max international </t>
  </si>
  <si>
    <t>19.06.80</t>
  </si>
  <si>
    <t>06.10.23</t>
  </si>
  <si>
    <t xml:space="preserve">purchase </t>
  </si>
  <si>
    <t>serever dell T40</t>
  </si>
  <si>
    <t>07.05.80</t>
  </si>
  <si>
    <t>02.07.80</t>
  </si>
  <si>
    <t>19.10.23</t>
  </si>
  <si>
    <t>17.10.23-16.11.23</t>
  </si>
  <si>
    <t>S18081-151937</t>
  </si>
  <si>
    <t>06.08.80</t>
  </si>
  <si>
    <t>22.11.23</t>
  </si>
  <si>
    <t>17.11.23-16.12.23</t>
  </si>
  <si>
    <t>S18081-206499</t>
  </si>
  <si>
    <t>02.09.80</t>
  </si>
  <si>
    <t>18.12.23</t>
  </si>
  <si>
    <t>17.12.23-16.01.24</t>
  </si>
  <si>
    <t>S18081-251445</t>
  </si>
  <si>
    <t>03.12.23</t>
  </si>
  <si>
    <t>17.08.80</t>
  </si>
  <si>
    <t>18.10.23</t>
  </si>
  <si>
    <t>payment</t>
  </si>
  <si>
    <t>01.07.80</t>
  </si>
  <si>
    <t>ips</t>
  </si>
  <si>
    <t>rent payable of asoj</t>
  </si>
  <si>
    <t>06.11.23</t>
  </si>
  <si>
    <t>01.08.80</t>
  </si>
  <si>
    <t>17.11.23</t>
  </si>
  <si>
    <t xml:space="preserve">rent payable of kartik </t>
  </si>
  <si>
    <t>01.09.80</t>
  </si>
  <si>
    <t>17.12.23</t>
  </si>
  <si>
    <t>rent payable of mangsir</t>
  </si>
  <si>
    <t>20.07.80</t>
  </si>
  <si>
    <t>17.08.23</t>
  </si>
  <si>
    <t>6.10.23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</si>
</sst>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.0_);_(* \(#,##0.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7" xfId="0" applyBorder="1"/>
    <xf numFmtId="0" fontId="0" fillId="0" borderId="8" xfId="0" applyBorder="1"/>
    <xf numFmtId="0" fontId="4" fillId="0" borderId="8" xfId="0" applyFont="1" applyBorder="1"/>
    <xf numFmtId="0" fontId="0" fillId="0" borderId="3" xfId="0" applyBorder="1"/>
    <xf numFmtId="0" fontId="0" fillId="0" borderId="9" xfId="0" applyBorder="1"/>
    <xf numFmtId="43" fontId="0" fillId="0" borderId="0" xfId="1" applyFont="1"/>
    <xf numFmtId="43" fontId="0" fillId="0" borderId="8" xfId="1" applyFont="1" applyBorder="1"/>
    <xf numFmtId="43" fontId="0" fillId="0" borderId="9" xfId="1" applyFont="1" applyBorder="1"/>
    <xf numFmtId="43" fontId="0" fillId="0" borderId="9" xfId="0" applyNumberFormat="1" applyBorder="1"/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5" fillId="0" borderId="9" xfId="0" applyFont="1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13" xfId="0" applyBorder="1"/>
    <xf numFmtId="0" fontId="5" fillId="0" borderId="13" xfId="0" applyFont="1" applyBorder="1"/>
    <xf numFmtId="0" fontId="6" fillId="0" borderId="7" xfId="0" applyFont="1" applyBorder="1"/>
    <xf numFmtId="164" fontId="0" fillId="0" borderId="0" xfId="1" applyNumberFormat="1" applyFont="1"/>
    <xf numFmtId="164" fontId="0" fillId="0" borderId="8" xfId="1" applyNumberFormat="1" applyFont="1" applyBorder="1"/>
    <xf numFmtId="164" fontId="0" fillId="0" borderId="9" xfId="1" applyNumberFormat="1" applyFont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selection activeCell="D22" sqref="D22"/>
    </sheetView>
  </sheetViews>
  <sheetFormatPr defaultRowHeight="15"/>
  <cols>
    <col min="1" max="1" width="5.140625" customWidth="1"/>
    <col min="4" max="4" width="28.85546875" bestFit="1" customWidth="1"/>
    <col min="5" max="5" width="13.85546875" bestFit="1" customWidth="1"/>
    <col min="6" max="6" width="10" bestFit="1" customWidth="1"/>
    <col min="7" max="7" width="12.42578125" style="6" bestFit="1" customWidth="1"/>
    <col min="8" max="8" width="12.28515625" style="6" bestFit="1" customWidth="1"/>
    <col min="9" max="9" width="10.5703125" style="6" bestFit="1" customWidth="1"/>
  </cols>
  <sheetData>
    <row r="1" spans="1:11" ht="15.75" thickBot="1"/>
    <row r="2" spans="1:11">
      <c r="A2" s="24" t="s">
        <v>10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 ht="15.75" thickBot="1">
      <c r="A3" s="27"/>
      <c r="B3" s="28"/>
      <c r="C3" s="28"/>
      <c r="D3" s="28"/>
      <c r="E3" s="28"/>
      <c r="F3" s="28"/>
      <c r="G3" s="28"/>
      <c r="H3" s="28"/>
      <c r="I3" s="28"/>
      <c r="J3" s="28"/>
      <c r="K3" s="29"/>
    </row>
    <row r="4" spans="1:11" ht="15.75" thickBot="1"/>
    <row r="5" spans="1:11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2" t="s">
        <v>5</v>
      </c>
      <c r="G5" s="7" t="s">
        <v>6</v>
      </c>
      <c r="H5" s="7" t="s">
        <v>7</v>
      </c>
      <c r="I5" s="7" t="s">
        <v>8</v>
      </c>
      <c r="J5" s="2" t="s">
        <v>9</v>
      </c>
      <c r="K5" s="4"/>
    </row>
    <row r="6" spans="1:11">
      <c r="A6" s="5"/>
      <c r="B6" s="5"/>
      <c r="C6" s="5"/>
      <c r="D6" s="5"/>
      <c r="E6" s="5"/>
      <c r="F6" s="5"/>
      <c r="G6" s="8"/>
      <c r="H6" s="8"/>
      <c r="I6" s="8"/>
      <c r="J6" s="5"/>
      <c r="K6" s="5"/>
    </row>
    <row r="7" spans="1:11">
      <c r="A7" s="5"/>
      <c r="B7" s="5" t="s">
        <v>11</v>
      </c>
      <c r="C7" s="5" t="s">
        <v>12</v>
      </c>
      <c r="D7" s="5" t="s">
        <v>14</v>
      </c>
      <c r="E7" s="5" t="s">
        <v>13</v>
      </c>
      <c r="F7" s="5"/>
      <c r="G7" s="8">
        <v>7458</v>
      </c>
      <c r="H7" s="8"/>
      <c r="I7" s="8">
        <v>7458</v>
      </c>
      <c r="J7" s="5"/>
      <c r="K7" s="5"/>
    </row>
    <row r="8" spans="1:11">
      <c r="A8" s="5"/>
      <c r="B8" s="5" t="s">
        <v>15</v>
      </c>
      <c r="C8" s="5" t="s">
        <v>16</v>
      </c>
      <c r="D8" s="5" t="s">
        <v>17</v>
      </c>
      <c r="E8" s="5" t="s">
        <v>18</v>
      </c>
      <c r="F8" s="5"/>
      <c r="G8" s="8">
        <v>7458</v>
      </c>
      <c r="H8" s="8"/>
      <c r="I8" s="8">
        <f>I7+G8-H8</f>
        <v>14916</v>
      </c>
      <c r="J8" s="5"/>
      <c r="K8" s="5"/>
    </row>
    <row r="9" spans="1:11">
      <c r="A9" s="5"/>
      <c r="B9" s="5" t="s">
        <v>91</v>
      </c>
      <c r="C9" s="5" t="s">
        <v>19</v>
      </c>
      <c r="D9" s="5" t="s">
        <v>20</v>
      </c>
      <c r="E9" s="5" t="s">
        <v>21</v>
      </c>
      <c r="F9" s="5"/>
      <c r="G9" s="8">
        <v>3390</v>
      </c>
      <c r="H9" s="8"/>
      <c r="I9" s="8">
        <f>I8+G9-H9</f>
        <v>18306</v>
      </c>
      <c r="J9" s="5"/>
      <c r="K9" s="5"/>
    </row>
    <row r="10" spans="1:11">
      <c r="A10" s="5"/>
      <c r="B10" s="5" t="s">
        <v>60</v>
      </c>
      <c r="C10" s="5" t="s">
        <v>61</v>
      </c>
      <c r="D10" s="5" t="s">
        <v>62</v>
      </c>
      <c r="E10" s="5"/>
      <c r="F10" s="5">
        <v>53454584</v>
      </c>
      <c r="G10" s="8"/>
      <c r="H10" s="8">
        <v>10704</v>
      </c>
      <c r="I10" s="8">
        <f>I9+G10-H10</f>
        <v>7602</v>
      </c>
      <c r="J10" s="5"/>
      <c r="K10" s="5"/>
    </row>
    <row r="11" spans="1:11">
      <c r="A11" s="5"/>
      <c r="B11" s="5" t="s">
        <v>77</v>
      </c>
      <c r="C11" s="5" t="s">
        <v>78</v>
      </c>
      <c r="D11" s="5" t="s">
        <v>79</v>
      </c>
      <c r="E11" s="5" t="s">
        <v>80</v>
      </c>
      <c r="F11" s="5"/>
      <c r="G11" s="8">
        <v>7458</v>
      </c>
      <c r="H11" s="8"/>
      <c r="I11" s="8">
        <f>I10+G11-H11</f>
        <v>15060</v>
      </c>
      <c r="J11" s="5"/>
      <c r="K11" s="5"/>
    </row>
    <row r="12" spans="1:11">
      <c r="A12" s="5"/>
      <c r="B12" s="5" t="s">
        <v>92</v>
      </c>
      <c r="C12" s="5" t="s">
        <v>93</v>
      </c>
      <c r="D12" s="5" t="s">
        <v>94</v>
      </c>
      <c r="E12" s="5" t="s">
        <v>95</v>
      </c>
      <c r="F12" s="5"/>
      <c r="G12" s="8">
        <v>7458</v>
      </c>
      <c r="H12" s="8"/>
      <c r="I12" s="8">
        <f t="shared" ref="I12:I15" si="0">I11+G12-H12</f>
        <v>22518</v>
      </c>
      <c r="J12" s="5"/>
      <c r="K12" s="5"/>
    </row>
    <row r="13" spans="1:11">
      <c r="A13" s="5"/>
      <c r="B13" s="5" t="s">
        <v>96</v>
      </c>
      <c r="C13" s="5" t="s">
        <v>97</v>
      </c>
      <c r="D13" s="5" t="s">
        <v>98</v>
      </c>
      <c r="E13" s="5" t="s">
        <v>99</v>
      </c>
      <c r="F13" s="5"/>
      <c r="G13" s="8">
        <v>7458</v>
      </c>
      <c r="H13" s="8"/>
      <c r="I13" s="8">
        <f t="shared" si="0"/>
        <v>29976</v>
      </c>
      <c r="J13" s="5"/>
      <c r="K13" s="5"/>
    </row>
    <row r="14" spans="1:11">
      <c r="A14" s="5"/>
      <c r="B14" s="5" t="s">
        <v>105</v>
      </c>
      <c r="C14" s="5" t="s">
        <v>104</v>
      </c>
      <c r="D14" s="5" t="s">
        <v>62</v>
      </c>
      <c r="E14" s="5"/>
      <c r="F14" s="5"/>
      <c r="G14" s="8"/>
      <c r="H14" s="8">
        <v>14718</v>
      </c>
      <c r="I14" s="8">
        <f t="shared" si="0"/>
        <v>15258</v>
      </c>
      <c r="J14" s="5"/>
      <c r="K14" s="5"/>
    </row>
    <row r="15" spans="1:11">
      <c r="A15" s="5"/>
      <c r="B15" s="5" t="s">
        <v>100</v>
      </c>
      <c r="C15" s="5" t="s">
        <v>101</v>
      </c>
      <c r="D15" s="5" t="s">
        <v>102</v>
      </c>
      <c r="E15" s="5" t="s">
        <v>103</v>
      </c>
      <c r="F15" s="5"/>
      <c r="G15" s="8">
        <v>7458</v>
      </c>
      <c r="H15" s="8"/>
      <c r="I15" s="8">
        <f t="shared" si="0"/>
        <v>22716</v>
      </c>
      <c r="J15" s="5"/>
      <c r="K15" s="5"/>
    </row>
    <row r="16" spans="1:11">
      <c r="A16" s="5"/>
      <c r="B16" s="5"/>
      <c r="C16" s="5"/>
      <c r="D16" s="5"/>
      <c r="E16" s="5"/>
      <c r="F16" s="5"/>
      <c r="G16" s="8"/>
      <c r="H16" s="8"/>
      <c r="I16" s="8"/>
      <c r="J16" s="5"/>
      <c r="K16" s="5"/>
    </row>
    <row r="17" spans="1:11">
      <c r="A17" s="5"/>
      <c r="B17" s="5"/>
      <c r="C17" s="5"/>
      <c r="D17" s="5"/>
      <c r="E17" s="5"/>
      <c r="F17" s="5"/>
      <c r="G17" s="8"/>
      <c r="H17" s="8"/>
      <c r="I17" s="8"/>
      <c r="J17" s="5"/>
      <c r="K17" s="5"/>
    </row>
    <row r="18" spans="1:11">
      <c r="A18" s="5"/>
      <c r="B18" s="5"/>
      <c r="C18" s="5"/>
      <c r="D18" s="5"/>
      <c r="E18" s="5"/>
      <c r="F18" s="5"/>
      <c r="G18" s="8"/>
      <c r="H18" s="8"/>
      <c r="I18" s="8"/>
      <c r="J18" s="5"/>
      <c r="K18" s="5"/>
    </row>
    <row r="19" spans="1:11">
      <c r="A19" s="5"/>
      <c r="B19" s="5"/>
      <c r="C19" s="5"/>
      <c r="D19" s="5"/>
      <c r="E19" s="5"/>
      <c r="F19" s="5"/>
      <c r="G19" s="8"/>
      <c r="H19" s="8"/>
      <c r="I19" s="8"/>
      <c r="J19" s="5"/>
      <c r="K19" s="5"/>
    </row>
    <row r="20" spans="1:11">
      <c r="A20" s="5"/>
      <c r="B20" s="5"/>
      <c r="C20" s="5"/>
      <c r="D20" s="5"/>
      <c r="E20" s="5"/>
      <c r="F20" s="5"/>
      <c r="G20" s="8"/>
      <c r="H20" s="8"/>
      <c r="I20" s="8"/>
      <c r="J20" s="5"/>
      <c r="K20" s="5"/>
    </row>
    <row r="21" spans="1:11">
      <c r="A21" s="5"/>
      <c r="B21" s="5"/>
      <c r="C21" s="5"/>
      <c r="D21" s="5"/>
      <c r="E21" s="5"/>
      <c r="F21" s="5"/>
      <c r="G21" s="8"/>
      <c r="H21" s="8"/>
      <c r="I21" s="8"/>
      <c r="J21" s="5"/>
      <c r="K21" s="5"/>
    </row>
    <row r="22" spans="1:11">
      <c r="A22" s="5"/>
      <c r="B22" s="5"/>
      <c r="C22" s="5"/>
      <c r="D22" s="5"/>
      <c r="E22" s="5"/>
      <c r="F22" s="5"/>
      <c r="G22" s="8"/>
      <c r="H22" s="8"/>
      <c r="I22" s="8"/>
      <c r="J22" s="5"/>
      <c r="K22" s="5"/>
    </row>
    <row r="23" spans="1:11">
      <c r="A23" s="5"/>
      <c r="B23" s="5"/>
      <c r="C23" s="5"/>
      <c r="D23" s="5"/>
      <c r="E23" s="5"/>
      <c r="F23" s="5"/>
      <c r="G23" s="8"/>
      <c r="H23" s="8"/>
      <c r="I23" s="8"/>
      <c r="J23" s="5"/>
      <c r="K23" s="5"/>
    </row>
    <row r="24" spans="1:11">
      <c r="A24" s="5"/>
      <c r="B24" s="5"/>
      <c r="C24" s="5"/>
      <c r="D24" s="5"/>
      <c r="E24" s="5"/>
      <c r="F24" s="5"/>
      <c r="G24" s="8"/>
      <c r="H24" s="8"/>
      <c r="I24" s="8"/>
      <c r="J24" s="5"/>
      <c r="K24" s="5"/>
    </row>
  </sheetData>
  <mergeCells count="1">
    <mergeCell ref="A2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selection activeCell="E8" sqref="E8"/>
    </sheetView>
  </sheetViews>
  <sheetFormatPr defaultRowHeight="15"/>
  <cols>
    <col min="1" max="1" width="3" customWidth="1"/>
    <col min="4" max="4" width="28.85546875" bestFit="1" customWidth="1"/>
    <col min="5" max="5" width="13.85546875" bestFit="1" customWidth="1"/>
    <col min="7" max="7" width="12.42578125" style="6" bestFit="1" customWidth="1"/>
    <col min="8" max="8" width="12.28515625" style="6" bestFit="1" customWidth="1"/>
    <col min="9" max="9" width="10.5703125" bestFit="1" customWidth="1"/>
    <col min="10" max="10" width="10.7109375" bestFit="1" customWidth="1"/>
  </cols>
  <sheetData>
    <row r="1" spans="1:11" ht="15.75" thickBot="1"/>
    <row r="2" spans="1:11">
      <c r="A2" s="24" t="s">
        <v>22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 ht="15.75" thickBot="1">
      <c r="A3" s="27"/>
      <c r="B3" s="28"/>
      <c r="C3" s="28"/>
      <c r="D3" s="28"/>
      <c r="E3" s="28"/>
      <c r="F3" s="28"/>
      <c r="G3" s="28"/>
      <c r="H3" s="28"/>
      <c r="I3" s="28"/>
      <c r="J3" s="28"/>
      <c r="K3" s="29"/>
    </row>
    <row r="4" spans="1:11" ht="21.75" thickBot="1">
      <c r="A4" s="10"/>
      <c r="B4" s="11"/>
      <c r="C4" s="11"/>
      <c r="D4" s="12" t="s">
        <v>23</v>
      </c>
      <c r="E4" s="11"/>
      <c r="F4" s="11"/>
      <c r="G4" s="11"/>
      <c r="H4" s="14"/>
      <c r="I4" s="14" t="s">
        <v>24</v>
      </c>
      <c r="J4" s="14" t="s">
        <v>25</v>
      </c>
      <c r="K4" s="13"/>
    </row>
    <row r="5" spans="1:11" ht="15.75" thickBot="1"/>
    <row r="6" spans="1:11">
      <c r="A6" s="1" t="s">
        <v>0</v>
      </c>
      <c r="B6" s="2" t="s">
        <v>1</v>
      </c>
      <c r="C6" s="2" t="s">
        <v>2</v>
      </c>
      <c r="D6" s="2" t="s">
        <v>3</v>
      </c>
      <c r="E6" s="3" t="s">
        <v>4</v>
      </c>
      <c r="F6" s="2" t="s">
        <v>5</v>
      </c>
      <c r="G6" s="7" t="s">
        <v>6</v>
      </c>
      <c r="H6" s="7" t="s">
        <v>7</v>
      </c>
      <c r="I6" s="2" t="s">
        <v>8</v>
      </c>
      <c r="J6" s="2" t="s">
        <v>9</v>
      </c>
      <c r="K6" s="4"/>
    </row>
    <row r="7" spans="1:11">
      <c r="A7" s="5"/>
      <c r="B7" s="5"/>
      <c r="C7" s="5"/>
      <c r="D7" s="5"/>
      <c r="E7" s="5"/>
      <c r="F7" s="5"/>
      <c r="G7" s="8"/>
      <c r="H7" s="8"/>
      <c r="I7" s="5"/>
      <c r="J7" s="5"/>
      <c r="K7" s="5"/>
    </row>
    <row r="8" spans="1:11">
      <c r="A8" s="5"/>
      <c r="B8" s="5" t="s">
        <v>26</v>
      </c>
      <c r="C8" s="5" t="s">
        <v>27</v>
      </c>
      <c r="D8" s="5" t="s">
        <v>31</v>
      </c>
      <c r="E8" s="5" t="s">
        <v>28</v>
      </c>
      <c r="F8" s="5"/>
      <c r="G8" s="8">
        <v>39018.28</v>
      </c>
      <c r="H8" s="8"/>
      <c r="I8" s="5">
        <v>39018.28</v>
      </c>
      <c r="J8" s="5"/>
      <c r="K8" s="5"/>
    </row>
    <row r="9" spans="1:11">
      <c r="A9" s="5"/>
      <c r="B9" s="5" t="s">
        <v>26</v>
      </c>
      <c r="C9" s="5" t="s">
        <v>27</v>
      </c>
      <c r="D9" s="5" t="s">
        <v>31</v>
      </c>
      <c r="E9" s="5" t="s">
        <v>29</v>
      </c>
      <c r="F9" s="5"/>
      <c r="G9" s="8">
        <v>17928.37</v>
      </c>
      <c r="H9" s="8"/>
      <c r="I9" s="9">
        <f>I8+G9-H9</f>
        <v>56946.649999999994</v>
      </c>
      <c r="J9" s="5"/>
      <c r="K9" s="5"/>
    </row>
    <row r="10" spans="1:11">
      <c r="A10" s="5"/>
      <c r="B10" s="5" t="s">
        <v>26</v>
      </c>
      <c r="C10" s="5" t="s">
        <v>27</v>
      </c>
      <c r="D10" s="5" t="s">
        <v>31</v>
      </c>
      <c r="E10" s="5" t="s">
        <v>30</v>
      </c>
      <c r="F10" s="5"/>
      <c r="G10" s="8">
        <v>17005.43</v>
      </c>
      <c r="H10" s="8"/>
      <c r="I10" s="9">
        <f>I9+G10-H10</f>
        <v>73952.079999999987</v>
      </c>
      <c r="J10" s="5"/>
      <c r="K10" s="5"/>
    </row>
    <row r="11" spans="1:11">
      <c r="A11" s="5"/>
      <c r="B11" s="5" t="s">
        <v>33</v>
      </c>
      <c r="C11" s="5" t="s">
        <v>32</v>
      </c>
      <c r="D11" s="5" t="s">
        <v>34</v>
      </c>
      <c r="E11" s="5" t="s">
        <v>35</v>
      </c>
      <c r="F11" s="5"/>
      <c r="G11" s="8"/>
      <c r="H11" s="8">
        <v>73952.08</v>
      </c>
      <c r="I11" s="9">
        <f>I10+G11-H11</f>
        <v>0</v>
      </c>
      <c r="J11" s="5"/>
      <c r="K11" s="5"/>
    </row>
    <row r="12" spans="1:11">
      <c r="A12" s="5"/>
      <c r="B12" s="5"/>
      <c r="C12" s="5"/>
      <c r="D12" s="5"/>
      <c r="E12" s="5"/>
      <c r="F12" s="5"/>
      <c r="G12" s="8"/>
      <c r="H12" s="8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8"/>
      <c r="H13" s="8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8"/>
      <c r="H14" s="8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8"/>
      <c r="H15" s="8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8"/>
      <c r="H16" s="8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8"/>
      <c r="H17" s="8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8"/>
      <c r="H18" s="8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8"/>
      <c r="H19" s="8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8"/>
      <c r="H20" s="8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8"/>
      <c r="H21" s="8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8"/>
      <c r="H22" s="8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8"/>
      <c r="H23" s="8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8"/>
      <c r="H24" s="8"/>
      <c r="I24" s="5"/>
      <c r="J24" s="5"/>
      <c r="K24" s="5"/>
    </row>
  </sheetData>
  <mergeCells count="1">
    <mergeCell ref="A2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"/>
  <sheetViews>
    <sheetView workbookViewId="0">
      <selection activeCell="G17" sqref="G17"/>
    </sheetView>
  </sheetViews>
  <sheetFormatPr defaultRowHeight="15"/>
  <cols>
    <col min="1" max="1" width="3" customWidth="1"/>
    <col min="4" max="4" width="28.85546875" bestFit="1" customWidth="1"/>
    <col min="5" max="5" width="10.28515625" bestFit="1" customWidth="1"/>
    <col min="7" max="7" width="12.42578125" style="6" bestFit="1" customWidth="1"/>
    <col min="8" max="8" width="12.28515625" style="6" bestFit="1" customWidth="1"/>
    <col min="9" max="9" width="10.5703125" bestFit="1" customWidth="1"/>
    <col min="10" max="10" width="10.7109375" bestFit="1" customWidth="1"/>
  </cols>
  <sheetData>
    <row r="1" spans="1:11" ht="15.75" thickBot="1"/>
    <row r="2" spans="1:11">
      <c r="A2" s="24" t="s">
        <v>36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 ht="15.75" thickBot="1">
      <c r="A3" s="27"/>
      <c r="B3" s="28"/>
      <c r="C3" s="28"/>
      <c r="D3" s="28"/>
      <c r="E3" s="28"/>
      <c r="F3" s="28"/>
      <c r="G3" s="28"/>
      <c r="H3" s="28"/>
      <c r="I3" s="28"/>
      <c r="J3" s="28"/>
      <c r="K3" s="29"/>
    </row>
    <row r="4" spans="1:11" ht="21.75" thickBot="1">
      <c r="A4" s="10"/>
      <c r="B4" s="11"/>
      <c r="C4" s="11"/>
      <c r="D4" s="12" t="s">
        <v>37</v>
      </c>
      <c r="E4" s="11"/>
      <c r="F4" s="11"/>
      <c r="G4" s="11"/>
      <c r="H4" s="14"/>
      <c r="I4" s="14" t="s">
        <v>24</v>
      </c>
      <c r="J4" s="14" t="s">
        <v>38</v>
      </c>
      <c r="K4" s="13"/>
    </row>
    <row r="5" spans="1:11" ht="15.75" thickBot="1"/>
    <row r="6" spans="1:11">
      <c r="A6" s="1" t="s">
        <v>0</v>
      </c>
      <c r="B6" s="2" t="s">
        <v>1</v>
      </c>
      <c r="C6" s="2" t="s">
        <v>2</v>
      </c>
      <c r="D6" s="2" t="s">
        <v>3</v>
      </c>
      <c r="E6" s="3" t="s">
        <v>4</v>
      </c>
      <c r="F6" s="2" t="s">
        <v>5</v>
      </c>
      <c r="G6" s="7" t="s">
        <v>6</v>
      </c>
      <c r="H6" s="7" t="s">
        <v>7</v>
      </c>
      <c r="I6" s="2" t="s">
        <v>8</v>
      </c>
      <c r="J6" s="2" t="s">
        <v>9</v>
      </c>
      <c r="K6" s="4"/>
    </row>
    <row r="7" spans="1:11">
      <c r="A7" s="5"/>
      <c r="B7" s="5"/>
      <c r="C7" s="5"/>
      <c r="D7" s="5"/>
      <c r="E7" s="5"/>
      <c r="F7" s="5"/>
      <c r="G7" s="8"/>
      <c r="H7" s="8"/>
      <c r="I7" s="5"/>
      <c r="J7" s="5"/>
      <c r="K7" s="5"/>
    </row>
    <row r="8" spans="1:11">
      <c r="A8" s="5"/>
      <c r="B8" s="5" t="s">
        <v>41</v>
      </c>
      <c r="C8" s="5" t="s">
        <v>40</v>
      </c>
      <c r="D8" s="5" t="s">
        <v>39</v>
      </c>
      <c r="E8" s="5">
        <v>34</v>
      </c>
      <c r="F8" s="5"/>
      <c r="G8" s="8">
        <v>5337</v>
      </c>
      <c r="H8" s="8"/>
      <c r="I8" s="8">
        <v>5337</v>
      </c>
      <c r="J8" s="5"/>
      <c r="K8" s="5"/>
    </row>
    <row r="9" spans="1:11">
      <c r="A9" s="5"/>
      <c r="B9" s="5" t="s">
        <v>42</v>
      </c>
      <c r="C9" s="5" t="s">
        <v>40</v>
      </c>
      <c r="D9" s="5" t="s">
        <v>43</v>
      </c>
      <c r="E9" s="5">
        <v>36</v>
      </c>
      <c r="F9" s="5"/>
      <c r="G9" s="8">
        <v>5630</v>
      </c>
      <c r="H9" s="8"/>
      <c r="I9" s="9">
        <f>I8+G9-H9</f>
        <v>10967</v>
      </c>
      <c r="J9" s="5"/>
      <c r="K9" s="5"/>
    </row>
    <row r="10" spans="1:11">
      <c r="A10" s="5"/>
      <c r="B10" s="5" t="s">
        <v>41</v>
      </c>
      <c r="C10" s="5" t="s">
        <v>40</v>
      </c>
      <c r="D10" s="5" t="s">
        <v>44</v>
      </c>
      <c r="E10" s="5">
        <v>35</v>
      </c>
      <c r="F10" s="5"/>
      <c r="G10" s="8">
        <v>5390</v>
      </c>
      <c r="H10" s="8"/>
      <c r="I10" s="9">
        <f t="shared" ref="I10:I14" si="0">I9+G10-H10</f>
        <v>16357</v>
      </c>
      <c r="J10" s="5"/>
      <c r="K10" s="5"/>
    </row>
    <row r="11" spans="1:11">
      <c r="A11" s="5"/>
      <c r="B11" s="5" t="s">
        <v>41</v>
      </c>
      <c r="C11" s="5" t="s">
        <v>40</v>
      </c>
      <c r="D11" s="5" t="s">
        <v>45</v>
      </c>
      <c r="E11" s="5">
        <v>37</v>
      </c>
      <c r="F11" s="5"/>
      <c r="G11" s="8">
        <v>7032</v>
      </c>
      <c r="H11" s="8"/>
      <c r="I11" s="9">
        <f t="shared" si="0"/>
        <v>23389</v>
      </c>
      <c r="J11" s="5"/>
      <c r="K11" s="5"/>
    </row>
    <row r="12" spans="1:11">
      <c r="A12" s="5"/>
      <c r="B12" s="5" t="s">
        <v>46</v>
      </c>
      <c r="C12" s="5" t="s">
        <v>47</v>
      </c>
      <c r="D12" s="5" t="s">
        <v>48</v>
      </c>
      <c r="E12" s="5">
        <v>79</v>
      </c>
      <c r="F12" s="5"/>
      <c r="G12" s="8">
        <v>7734</v>
      </c>
      <c r="H12" s="8"/>
      <c r="I12" s="9">
        <f t="shared" si="0"/>
        <v>31123</v>
      </c>
      <c r="J12" s="5"/>
      <c r="K12" s="5"/>
    </row>
    <row r="13" spans="1:11">
      <c r="A13" s="5"/>
      <c r="B13" s="5" t="s">
        <v>81</v>
      </c>
      <c r="C13" s="5" t="s">
        <v>82</v>
      </c>
      <c r="D13" s="5" t="s">
        <v>83</v>
      </c>
      <c r="E13" s="5">
        <v>338</v>
      </c>
      <c r="F13" s="5"/>
      <c r="G13" s="8">
        <v>6604</v>
      </c>
      <c r="H13" s="8"/>
      <c r="I13" s="9">
        <f t="shared" si="0"/>
        <v>37727</v>
      </c>
      <c r="J13" s="5"/>
      <c r="K13" s="5"/>
    </row>
    <row r="14" spans="1:11">
      <c r="A14" s="5"/>
      <c r="B14" s="5" t="s">
        <v>108</v>
      </c>
      <c r="C14" s="5" t="s">
        <v>106</v>
      </c>
      <c r="D14" s="5" t="s">
        <v>107</v>
      </c>
      <c r="E14" s="5"/>
      <c r="F14" s="5" t="s">
        <v>109</v>
      </c>
      <c r="G14" s="8"/>
      <c r="H14" s="8">
        <v>25000</v>
      </c>
      <c r="I14" s="9">
        <f t="shared" si="0"/>
        <v>12727</v>
      </c>
      <c r="J14" s="5"/>
      <c r="K14" s="5"/>
    </row>
    <row r="15" spans="1:11">
      <c r="A15" s="5"/>
      <c r="B15" s="5"/>
      <c r="C15" s="5"/>
      <c r="D15" s="5"/>
      <c r="E15" s="5"/>
      <c r="F15" s="5"/>
      <c r="G15" s="8"/>
      <c r="H15" s="8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8"/>
      <c r="H16" s="8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8"/>
      <c r="H17" s="8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8"/>
      <c r="H18" s="8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8"/>
      <c r="H19" s="8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8"/>
      <c r="H20" s="8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8"/>
      <c r="H21" s="8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8"/>
      <c r="H22" s="8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8"/>
      <c r="H23" s="8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8"/>
      <c r="H24" s="8"/>
      <c r="I24" s="5"/>
      <c r="J24" s="5"/>
      <c r="K24" s="5"/>
    </row>
  </sheetData>
  <mergeCells count="1">
    <mergeCell ref="A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selection activeCell="C9" sqref="C9"/>
    </sheetView>
  </sheetViews>
  <sheetFormatPr defaultRowHeight="15"/>
  <cols>
    <col min="1" max="1" width="3.7109375" customWidth="1"/>
    <col min="4" max="4" width="28.85546875" bestFit="1" customWidth="1"/>
    <col min="6" max="6" width="12.42578125" style="6" bestFit="1" customWidth="1"/>
    <col min="7" max="7" width="12.28515625" style="6" bestFit="1" customWidth="1"/>
    <col min="8" max="8" width="10.5703125" style="6" bestFit="1" customWidth="1"/>
  </cols>
  <sheetData>
    <row r="1" spans="1:10" ht="15.75" thickBot="1"/>
    <row r="2" spans="1:10">
      <c r="A2" s="24" t="s">
        <v>63</v>
      </c>
      <c r="B2" s="25"/>
      <c r="C2" s="25"/>
      <c r="D2" s="25"/>
      <c r="E2" s="25"/>
      <c r="F2" s="25"/>
      <c r="G2" s="25"/>
      <c r="H2" s="25"/>
      <c r="I2" s="25"/>
      <c r="J2" s="26"/>
    </row>
    <row r="3" spans="1:10" ht="15.75" thickBot="1">
      <c r="A3" s="27"/>
      <c r="B3" s="28"/>
      <c r="C3" s="28"/>
      <c r="D3" s="28"/>
      <c r="E3" s="28"/>
      <c r="F3" s="28"/>
      <c r="G3" s="28"/>
      <c r="H3" s="28"/>
      <c r="I3" s="28"/>
      <c r="J3" s="29"/>
    </row>
    <row r="4" spans="1:10" ht="15.75" thickBot="1"/>
    <row r="5" spans="1:10">
      <c r="A5" s="20" t="s">
        <v>0</v>
      </c>
      <c r="B5" s="2" t="s">
        <v>1</v>
      </c>
      <c r="C5" s="2" t="s">
        <v>2</v>
      </c>
      <c r="D5" s="2" t="s">
        <v>3</v>
      </c>
      <c r="E5" s="2" t="s">
        <v>5</v>
      </c>
      <c r="F5" s="7" t="s">
        <v>6</v>
      </c>
      <c r="G5" s="7" t="s">
        <v>7</v>
      </c>
      <c r="H5" s="7" t="s">
        <v>8</v>
      </c>
      <c r="I5" s="2" t="s">
        <v>9</v>
      </c>
      <c r="J5" s="4"/>
    </row>
    <row r="6" spans="1:10">
      <c r="A6" s="5"/>
      <c r="B6" s="5"/>
      <c r="C6" s="5"/>
      <c r="D6" s="5"/>
      <c r="E6" s="5"/>
      <c r="F6" s="8"/>
      <c r="G6" s="8"/>
      <c r="H6" s="8"/>
      <c r="I6" s="5"/>
      <c r="J6" s="5"/>
    </row>
    <row r="7" spans="1:10">
      <c r="A7" s="5"/>
      <c r="B7" s="5" t="s">
        <v>15</v>
      </c>
      <c r="C7" s="5" t="s">
        <v>16</v>
      </c>
      <c r="D7" s="5" t="s">
        <v>64</v>
      </c>
      <c r="E7" s="5"/>
      <c r="F7" s="8">
        <v>30000</v>
      </c>
      <c r="G7" s="8"/>
      <c r="H7" s="8">
        <v>30000</v>
      </c>
      <c r="I7" s="5"/>
      <c r="J7" s="5"/>
    </row>
    <row r="8" spans="1:10">
      <c r="A8" s="5"/>
      <c r="B8" s="5" t="s">
        <v>60</v>
      </c>
      <c r="C8" s="5" t="s">
        <v>61</v>
      </c>
      <c r="D8" s="5" t="s">
        <v>65</v>
      </c>
      <c r="E8" s="5">
        <v>53454585</v>
      </c>
      <c r="F8" s="8"/>
      <c r="G8" s="8">
        <v>30000</v>
      </c>
      <c r="H8" s="8">
        <f>H7+F8-G8</f>
        <v>0</v>
      </c>
      <c r="I8" s="5"/>
      <c r="J8" s="5"/>
    </row>
    <row r="9" spans="1:10">
      <c r="A9" s="5"/>
      <c r="B9" s="5" t="s">
        <v>66</v>
      </c>
      <c r="C9" s="5" t="s">
        <v>74</v>
      </c>
      <c r="D9" s="5" t="s">
        <v>75</v>
      </c>
      <c r="E9" s="5"/>
      <c r="F9" s="8">
        <v>30000</v>
      </c>
      <c r="G9" s="8"/>
      <c r="H9" s="8">
        <f t="shared" ref="H9:H14" si="0">H8+F9-G9</f>
        <v>30000</v>
      </c>
      <c r="I9" s="5"/>
      <c r="J9" s="5"/>
    </row>
    <row r="10" spans="1:10">
      <c r="A10" s="5"/>
      <c r="B10" s="5" t="s">
        <v>108</v>
      </c>
      <c r="C10" s="5" t="s">
        <v>106</v>
      </c>
      <c r="D10" s="5" t="s">
        <v>110</v>
      </c>
      <c r="E10" s="5"/>
      <c r="F10" s="8">
        <v>30000</v>
      </c>
      <c r="G10" s="8"/>
      <c r="H10" s="8">
        <f t="shared" si="0"/>
        <v>60000</v>
      </c>
      <c r="I10" s="5"/>
      <c r="J10" s="5"/>
    </row>
    <row r="11" spans="1:10">
      <c r="A11" s="5"/>
      <c r="B11" s="5" t="s">
        <v>118</v>
      </c>
      <c r="C11" s="5" t="s">
        <v>111</v>
      </c>
      <c r="D11" s="5" t="s">
        <v>65</v>
      </c>
      <c r="E11" s="5"/>
      <c r="F11" s="8"/>
      <c r="G11" s="8">
        <v>30000</v>
      </c>
      <c r="H11" s="8">
        <f t="shared" si="0"/>
        <v>30000</v>
      </c>
      <c r="I11" s="5"/>
      <c r="J11" s="5"/>
    </row>
    <row r="12" spans="1:10">
      <c r="A12" s="5"/>
      <c r="B12" s="5" t="s">
        <v>112</v>
      </c>
      <c r="C12" s="5" t="s">
        <v>113</v>
      </c>
      <c r="D12" s="5" t="s">
        <v>114</v>
      </c>
      <c r="E12" s="5"/>
      <c r="F12" s="8">
        <v>30000</v>
      </c>
      <c r="G12" s="8"/>
      <c r="H12" s="8">
        <f t="shared" si="0"/>
        <v>60000</v>
      </c>
      <c r="I12" s="5"/>
      <c r="J12" s="5"/>
    </row>
    <row r="13" spans="1:10">
      <c r="A13" s="5"/>
      <c r="B13" s="5" t="s">
        <v>119</v>
      </c>
      <c r="C13" s="5" t="s">
        <v>104</v>
      </c>
      <c r="D13" s="5" t="s">
        <v>65</v>
      </c>
      <c r="E13" s="5"/>
      <c r="F13" s="8"/>
      <c r="G13" s="8">
        <v>30000</v>
      </c>
      <c r="H13" s="8">
        <f t="shared" si="0"/>
        <v>30000</v>
      </c>
      <c r="I13" s="5"/>
      <c r="J13" s="5"/>
    </row>
    <row r="14" spans="1:10">
      <c r="A14" s="5"/>
      <c r="B14" s="5" t="s">
        <v>115</v>
      </c>
      <c r="C14" s="5" t="s">
        <v>116</v>
      </c>
      <c r="D14" s="5" t="s">
        <v>117</v>
      </c>
      <c r="E14" s="5"/>
      <c r="F14" s="8">
        <v>30000</v>
      </c>
      <c r="G14" s="8"/>
      <c r="H14" s="8">
        <f t="shared" si="0"/>
        <v>60000</v>
      </c>
      <c r="I14" s="5"/>
      <c r="J14" s="5"/>
    </row>
    <row r="15" spans="1:10">
      <c r="A15" s="5"/>
      <c r="B15" s="5"/>
      <c r="C15" s="5"/>
      <c r="D15" s="5"/>
      <c r="E15" s="5"/>
      <c r="F15" s="8"/>
      <c r="G15" s="8"/>
      <c r="H15" s="8">
        <v>0</v>
      </c>
      <c r="I15" s="5"/>
      <c r="J15" s="5"/>
    </row>
    <row r="16" spans="1:10">
      <c r="A16" s="5"/>
      <c r="B16" s="5"/>
      <c r="C16" s="5"/>
      <c r="D16" s="5"/>
      <c r="E16" s="5"/>
      <c r="F16" s="8"/>
      <c r="G16" s="8"/>
      <c r="H16" s="8"/>
      <c r="I16" s="5"/>
      <c r="J16" s="5"/>
    </row>
    <row r="17" spans="1:10">
      <c r="A17" s="5"/>
      <c r="B17" s="5"/>
      <c r="C17" s="5"/>
      <c r="D17" s="5"/>
      <c r="E17" s="5"/>
      <c r="F17" s="8"/>
      <c r="G17" s="8"/>
      <c r="H17" s="8"/>
      <c r="I17" s="5"/>
      <c r="J17" s="5"/>
    </row>
    <row r="18" spans="1:10">
      <c r="A18" s="5"/>
      <c r="B18" s="5"/>
      <c r="C18" s="5"/>
      <c r="D18" s="5"/>
      <c r="E18" s="5"/>
      <c r="F18" s="8"/>
      <c r="G18" s="8"/>
      <c r="H18" s="8"/>
      <c r="I18" s="5"/>
      <c r="J18" s="5"/>
    </row>
    <row r="19" spans="1:10">
      <c r="A19" s="5"/>
      <c r="B19" s="5"/>
      <c r="C19" s="5"/>
      <c r="D19" s="5"/>
      <c r="E19" s="5"/>
      <c r="F19" s="8"/>
      <c r="G19" s="8"/>
      <c r="H19" s="8"/>
      <c r="I19" s="5"/>
      <c r="J19" s="5"/>
    </row>
    <row r="20" spans="1:10">
      <c r="A20" s="5"/>
      <c r="B20" s="5"/>
      <c r="C20" s="5"/>
      <c r="D20" s="5"/>
      <c r="E20" s="5"/>
      <c r="F20" s="8"/>
      <c r="G20" s="8"/>
      <c r="H20" s="8"/>
      <c r="I20" s="5"/>
      <c r="J20" s="5"/>
    </row>
    <row r="21" spans="1:10">
      <c r="A21" s="5"/>
      <c r="B21" s="5"/>
      <c r="C21" s="5"/>
      <c r="D21" s="5"/>
      <c r="E21" s="5"/>
      <c r="F21" s="8"/>
      <c r="G21" s="8"/>
      <c r="H21" s="8"/>
      <c r="I21" s="5"/>
      <c r="J21" s="5"/>
    </row>
    <row r="22" spans="1:10">
      <c r="A22" s="5"/>
      <c r="B22" s="5"/>
      <c r="C22" s="5"/>
      <c r="D22" s="5"/>
      <c r="E22" s="5"/>
      <c r="F22" s="8"/>
      <c r="G22" s="8"/>
      <c r="H22" s="8"/>
      <c r="I22" s="5"/>
      <c r="J22" s="5"/>
    </row>
    <row r="23" spans="1:10">
      <c r="A23" s="5"/>
      <c r="B23" s="5"/>
      <c r="C23" s="5"/>
      <c r="D23" s="5"/>
      <c r="E23" s="5"/>
      <c r="F23" s="8"/>
      <c r="G23" s="8"/>
      <c r="H23" s="8"/>
      <c r="I23" s="5"/>
      <c r="J23" s="5"/>
    </row>
    <row r="24" spans="1:10">
      <c r="A24" s="5"/>
      <c r="B24" s="5"/>
      <c r="C24" s="5"/>
      <c r="D24" s="5"/>
      <c r="E24" s="5"/>
      <c r="F24" s="8"/>
      <c r="G24" s="8"/>
      <c r="H24" s="8"/>
      <c r="I24" s="5"/>
      <c r="J24" s="5"/>
    </row>
  </sheetData>
  <mergeCells count="1">
    <mergeCell ref="A2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>
      <selection activeCell="H13" sqref="H13"/>
    </sheetView>
  </sheetViews>
  <sheetFormatPr defaultRowHeight="15"/>
  <cols>
    <col min="1" max="1" width="3" customWidth="1"/>
    <col min="2" max="2" width="8.7109375" customWidth="1"/>
    <col min="4" max="4" width="31.7109375" customWidth="1"/>
    <col min="5" max="5" width="11.7109375" bestFit="1" customWidth="1"/>
    <col min="7" max="8" width="14.28515625" style="21" bestFit="1" customWidth="1"/>
    <col min="9" max="9" width="15.28515625" style="21" customWidth="1"/>
    <col min="10" max="10" width="39" customWidth="1"/>
  </cols>
  <sheetData>
    <row r="1" spans="1:11" ht="15.75" thickBot="1"/>
    <row r="2" spans="1:11">
      <c r="A2" s="24" t="s">
        <v>49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 ht="15.75" thickBot="1">
      <c r="A3" s="27"/>
      <c r="B3" s="28"/>
      <c r="C3" s="28"/>
      <c r="D3" s="28"/>
      <c r="E3" s="28"/>
      <c r="F3" s="28"/>
      <c r="G3" s="28"/>
      <c r="H3" s="28"/>
      <c r="I3" s="28"/>
      <c r="J3" s="28"/>
      <c r="K3" s="29"/>
    </row>
    <row r="4" spans="1:11" ht="15.75" thickBot="1"/>
    <row r="5" spans="1:11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2" t="s">
        <v>5</v>
      </c>
      <c r="G5" s="22" t="s">
        <v>6</v>
      </c>
      <c r="H5" s="22" t="s">
        <v>7</v>
      </c>
      <c r="I5" s="22" t="s">
        <v>8</v>
      </c>
      <c r="J5" s="2" t="s">
        <v>9</v>
      </c>
      <c r="K5" s="4"/>
    </row>
    <row r="6" spans="1:11">
      <c r="A6" s="5"/>
      <c r="B6" s="5"/>
      <c r="C6" s="5"/>
      <c r="D6" s="5" t="s">
        <v>72</v>
      </c>
      <c r="E6" s="5"/>
      <c r="F6" s="5"/>
      <c r="G6" s="23"/>
      <c r="H6" s="23">
        <v>7966178.3700000001</v>
      </c>
      <c r="I6" s="23">
        <v>7966178.4000000004</v>
      </c>
      <c r="J6" s="5" t="s">
        <v>73</v>
      </c>
      <c r="K6" s="5"/>
    </row>
    <row r="7" spans="1:11">
      <c r="A7" s="5"/>
      <c r="B7" s="5"/>
      <c r="C7" s="15"/>
      <c r="D7" s="15"/>
      <c r="E7" s="5"/>
      <c r="F7" s="16"/>
      <c r="G7" s="23"/>
      <c r="H7" s="23"/>
      <c r="I7" s="23"/>
      <c r="J7" s="5"/>
      <c r="K7" s="5"/>
    </row>
    <row r="8" spans="1:11">
      <c r="A8" s="5"/>
      <c r="B8" s="5"/>
      <c r="C8" s="15"/>
      <c r="D8" s="17"/>
      <c r="E8" s="5"/>
      <c r="F8" s="5"/>
      <c r="G8" s="23"/>
      <c r="H8" s="23"/>
      <c r="I8" s="23"/>
      <c r="J8" s="5"/>
      <c r="K8" s="5"/>
    </row>
    <row r="9" spans="1:11">
      <c r="A9" s="5"/>
      <c r="B9" s="5" t="s">
        <v>50</v>
      </c>
      <c r="C9" s="15" t="s">
        <v>51</v>
      </c>
      <c r="D9" s="5" t="s">
        <v>55</v>
      </c>
      <c r="E9" s="5"/>
      <c r="F9" s="5"/>
      <c r="G9" s="23"/>
      <c r="H9" s="23"/>
      <c r="I9" s="23">
        <v>7966178.5999999996</v>
      </c>
      <c r="J9" s="5"/>
      <c r="K9" s="5"/>
    </row>
    <row r="10" spans="1:11">
      <c r="A10" s="5"/>
      <c r="B10" s="18"/>
      <c r="C10" s="19" t="s">
        <v>51</v>
      </c>
      <c r="D10" s="5" t="s">
        <v>76</v>
      </c>
      <c r="E10" s="5"/>
      <c r="F10" s="5"/>
      <c r="G10" s="23">
        <v>100000</v>
      </c>
      <c r="H10" s="23"/>
      <c r="I10" s="23">
        <f t="shared" ref="I10:I17" si="0">I9+H10-G10</f>
        <v>7866178.5999999996</v>
      </c>
      <c r="J10" s="5" t="s">
        <v>67</v>
      </c>
      <c r="K10" s="5"/>
    </row>
    <row r="11" spans="1:11">
      <c r="A11" s="5"/>
      <c r="B11" s="18" t="s">
        <v>26</v>
      </c>
      <c r="C11" s="19" t="s">
        <v>52</v>
      </c>
      <c r="D11" s="5" t="s">
        <v>56</v>
      </c>
      <c r="E11" s="5"/>
      <c r="F11" s="5"/>
      <c r="G11" s="23">
        <v>1500000</v>
      </c>
      <c r="H11" s="23"/>
      <c r="I11" s="23">
        <f t="shared" si="0"/>
        <v>6366178.5999999996</v>
      </c>
      <c r="J11" s="5"/>
      <c r="K11" s="5"/>
    </row>
    <row r="12" spans="1:11">
      <c r="A12" s="5"/>
      <c r="B12" s="5" t="s">
        <v>53</v>
      </c>
      <c r="C12" s="15" t="s">
        <v>54</v>
      </c>
      <c r="D12" s="5" t="s">
        <v>56</v>
      </c>
      <c r="E12" s="5"/>
      <c r="F12" s="5"/>
      <c r="G12" s="23">
        <v>150000</v>
      </c>
      <c r="H12" s="23"/>
      <c r="I12" s="23">
        <f t="shared" si="0"/>
        <v>6216178.5999999996</v>
      </c>
      <c r="J12" s="5" t="s">
        <v>67</v>
      </c>
      <c r="K12" s="5"/>
    </row>
    <row r="13" spans="1:11">
      <c r="A13" s="5"/>
      <c r="B13" s="16" t="s">
        <v>57</v>
      </c>
      <c r="C13" s="16" t="s">
        <v>58</v>
      </c>
      <c r="D13" s="5" t="s">
        <v>59</v>
      </c>
      <c r="E13" s="5"/>
      <c r="F13" s="5"/>
      <c r="G13" s="23"/>
      <c r="H13" s="23">
        <v>10000</v>
      </c>
      <c r="I13" s="23">
        <f t="shared" si="0"/>
        <v>6226178.5999999996</v>
      </c>
      <c r="J13" s="5"/>
      <c r="K13" s="5"/>
    </row>
    <row r="14" spans="1:11">
      <c r="A14" s="5"/>
      <c r="B14" s="5"/>
      <c r="C14" s="5" t="s">
        <v>68</v>
      </c>
      <c r="D14" s="5" t="s">
        <v>70</v>
      </c>
      <c r="E14" s="5" t="s">
        <v>35</v>
      </c>
      <c r="F14" s="5"/>
      <c r="G14" s="23">
        <v>140000</v>
      </c>
      <c r="H14" s="23"/>
      <c r="I14" s="23">
        <f t="shared" si="0"/>
        <v>6086178.5999999996</v>
      </c>
      <c r="J14" s="5" t="s">
        <v>71</v>
      </c>
      <c r="K14" s="5"/>
    </row>
    <row r="15" spans="1:11">
      <c r="A15" s="5"/>
      <c r="B15" s="5"/>
      <c r="C15" s="5" t="s">
        <v>69</v>
      </c>
      <c r="D15" s="5" t="s">
        <v>70</v>
      </c>
      <c r="E15" s="5" t="s">
        <v>35</v>
      </c>
      <c r="F15" s="5"/>
      <c r="G15" s="23">
        <v>50000</v>
      </c>
      <c r="H15" s="23"/>
      <c r="I15" s="23">
        <f t="shared" si="0"/>
        <v>6036178.5999999996</v>
      </c>
      <c r="J15" s="5" t="s">
        <v>71</v>
      </c>
      <c r="K15" s="5"/>
    </row>
    <row r="16" spans="1:11">
      <c r="A16" s="5"/>
      <c r="B16" s="5"/>
      <c r="C16" s="5" t="s">
        <v>84</v>
      </c>
      <c r="D16" s="5" t="s">
        <v>70</v>
      </c>
      <c r="E16" s="5" t="s">
        <v>35</v>
      </c>
      <c r="F16" s="5"/>
      <c r="G16" s="23">
        <v>100000</v>
      </c>
      <c r="H16" s="23"/>
      <c r="I16" s="23">
        <f t="shared" si="0"/>
        <v>5936178.5999999996</v>
      </c>
      <c r="J16" s="5" t="s">
        <v>71</v>
      </c>
      <c r="K16" s="5"/>
    </row>
    <row r="17" spans="1:11">
      <c r="A17" s="5"/>
      <c r="B17" s="5"/>
      <c r="C17" s="5" t="s">
        <v>85</v>
      </c>
      <c r="D17" s="5" t="s">
        <v>70</v>
      </c>
      <c r="E17" s="5" t="s">
        <v>35</v>
      </c>
      <c r="F17" s="5"/>
      <c r="G17" s="23">
        <v>50000</v>
      </c>
      <c r="H17" s="23"/>
      <c r="I17" s="23">
        <f t="shared" si="0"/>
        <v>5886178.5999999996</v>
      </c>
      <c r="J17" s="5"/>
      <c r="K17" s="5"/>
    </row>
    <row r="18" spans="1:11">
      <c r="A18" s="5"/>
      <c r="B18" s="5"/>
      <c r="C18" s="5"/>
      <c r="D18" s="5"/>
      <c r="E18" s="5"/>
      <c r="F18" s="5"/>
      <c r="G18" s="23"/>
      <c r="H18" s="23"/>
      <c r="I18" s="23"/>
      <c r="J18" s="5"/>
      <c r="K18" s="5"/>
    </row>
    <row r="19" spans="1:11">
      <c r="A19" s="5"/>
      <c r="B19" s="5"/>
      <c r="C19" s="5"/>
      <c r="D19" s="5"/>
      <c r="E19" s="5"/>
      <c r="F19" s="5"/>
      <c r="G19" s="23"/>
      <c r="H19" s="23"/>
      <c r="I19" s="23"/>
      <c r="J19" s="5"/>
      <c r="K19" s="5"/>
    </row>
    <row r="20" spans="1:11">
      <c r="A20" s="5"/>
      <c r="B20" s="5"/>
      <c r="C20" s="5"/>
      <c r="D20" s="5"/>
      <c r="E20" s="5"/>
      <c r="F20" s="5"/>
      <c r="G20" s="23"/>
      <c r="H20" s="23"/>
      <c r="I20" s="23"/>
      <c r="J20" s="5"/>
      <c r="K20" s="5"/>
    </row>
    <row r="21" spans="1:11">
      <c r="A21" s="5"/>
      <c r="B21" s="5"/>
      <c r="C21" s="5"/>
      <c r="D21" s="5"/>
      <c r="E21" s="5"/>
      <c r="F21" s="5"/>
      <c r="G21" s="23"/>
      <c r="H21" s="23"/>
      <c r="I21" s="23"/>
      <c r="J21" s="5"/>
      <c r="K21" s="5"/>
    </row>
    <row r="22" spans="1:11">
      <c r="A22" s="5"/>
      <c r="B22" s="5"/>
      <c r="C22" s="5"/>
      <c r="D22" s="5"/>
      <c r="E22" s="5"/>
      <c r="F22" s="5"/>
      <c r="G22" s="23"/>
      <c r="H22" s="23"/>
      <c r="I22" s="23"/>
      <c r="J22" s="5"/>
      <c r="K22" s="5"/>
    </row>
    <row r="23" spans="1:11">
      <c r="A23" s="5"/>
      <c r="B23" s="5"/>
      <c r="C23" s="5"/>
      <c r="D23" s="5"/>
      <c r="E23" s="5"/>
      <c r="F23" s="5"/>
      <c r="G23" s="23"/>
      <c r="H23" s="23"/>
      <c r="I23" s="23"/>
      <c r="J23" s="5"/>
      <c r="K23" s="5"/>
    </row>
    <row r="24" spans="1:11">
      <c r="A24" s="5"/>
      <c r="B24" s="5"/>
      <c r="C24" s="5"/>
      <c r="D24" s="5"/>
      <c r="E24" s="5"/>
      <c r="F24" s="5"/>
      <c r="G24" s="23">
        <f>SUM(G6:G23)</f>
        <v>2090000</v>
      </c>
      <c r="H24" s="23">
        <f>SUM(H6:H23)</f>
        <v>7976178.3700000001</v>
      </c>
      <c r="I24" s="23">
        <f>G24-H24</f>
        <v>-5886178.3700000001</v>
      </c>
      <c r="J24" s="5"/>
      <c r="K24" s="5"/>
    </row>
  </sheetData>
  <mergeCells count="1">
    <mergeCell ref="A2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selection activeCell="E16" sqref="E16"/>
    </sheetView>
  </sheetViews>
  <sheetFormatPr defaultRowHeight="15"/>
  <cols>
    <col min="1" max="1" width="4.7109375" customWidth="1"/>
    <col min="4" max="4" width="22.140625" customWidth="1"/>
    <col min="5" max="5" width="10.7109375" customWidth="1"/>
    <col min="7" max="7" width="14.140625" customWidth="1"/>
    <col min="8" max="8" width="11.28515625" customWidth="1"/>
    <col min="9" max="9" width="12.140625" customWidth="1"/>
  </cols>
  <sheetData>
    <row r="1" spans="1:11" ht="15.75" thickBot="1">
      <c r="G1" s="6"/>
      <c r="H1" s="6"/>
      <c r="I1" s="6"/>
    </row>
    <row r="2" spans="1:11">
      <c r="A2" s="24" t="s">
        <v>86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 ht="15.75" thickBot="1">
      <c r="A3" s="27"/>
      <c r="B3" s="28"/>
      <c r="C3" s="28"/>
      <c r="D3" s="28"/>
      <c r="E3" s="28"/>
      <c r="F3" s="28"/>
      <c r="G3" s="28"/>
      <c r="H3" s="28"/>
      <c r="I3" s="28"/>
      <c r="J3" s="28"/>
      <c r="K3" s="29"/>
    </row>
    <row r="4" spans="1:11" ht="15.75" thickBot="1">
      <c r="G4" s="6"/>
      <c r="H4" s="6"/>
      <c r="I4" s="6"/>
    </row>
    <row r="5" spans="1:11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  <c r="F5" s="2" t="s">
        <v>5</v>
      </c>
      <c r="G5" s="7" t="s">
        <v>6</v>
      </c>
      <c r="H5" s="7" t="s">
        <v>7</v>
      </c>
      <c r="I5" s="7" t="s">
        <v>8</v>
      </c>
      <c r="J5" s="2" t="s">
        <v>9</v>
      </c>
      <c r="K5" s="4"/>
    </row>
    <row r="6" spans="1:11">
      <c r="A6" s="5"/>
      <c r="B6" s="5"/>
      <c r="C6" s="5"/>
      <c r="D6" s="5"/>
      <c r="E6" s="5"/>
      <c r="F6" s="5"/>
      <c r="G6" s="8"/>
      <c r="H6" s="8"/>
      <c r="I6" s="8"/>
      <c r="J6" s="5"/>
      <c r="K6" s="5"/>
    </row>
    <row r="7" spans="1:11">
      <c r="A7" s="5"/>
      <c r="B7" s="5" t="s">
        <v>87</v>
      </c>
      <c r="C7" s="5" t="s">
        <v>88</v>
      </c>
      <c r="D7" s="5" t="s">
        <v>89</v>
      </c>
      <c r="E7" s="5">
        <v>2665</v>
      </c>
      <c r="F7" s="5"/>
      <c r="G7" s="8">
        <v>87000</v>
      </c>
      <c r="H7" s="8"/>
      <c r="I7" s="8">
        <v>87000</v>
      </c>
      <c r="J7" s="5"/>
      <c r="K7" s="5"/>
    </row>
    <row r="8" spans="1:11">
      <c r="A8" s="5"/>
      <c r="B8" s="5"/>
      <c r="C8" s="5"/>
      <c r="D8" s="5" t="s">
        <v>90</v>
      </c>
      <c r="E8" s="5"/>
      <c r="F8" s="5"/>
      <c r="G8" s="8"/>
      <c r="H8" s="8"/>
      <c r="I8" s="8"/>
      <c r="J8" s="5"/>
      <c r="K8" s="5"/>
    </row>
    <row r="9" spans="1:11">
      <c r="A9" s="5"/>
      <c r="B9" s="5"/>
      <c r="C9" s="5" t="s">
        <v>120</v>
      </c>
      <c r="D9" s="5" t="s">
        <v>107</v>
      </c>
      <c r="E9" s="5"/>
      <c r="F9" s="5" t="s">
        <v>109</v>
      </c>
      <c r="G9" s="8"/>
      <c r="H9" s="8">
        <v>87000</v>
      </c>
      <c r="I9" s="8">
        <v>0</v>
      </c>
      <c r="J9" s="5"/>
      <c r="K9" s="5"/>
    </row>
    <row r="10" spans="1:11">
      <c r="A10" s="5"/>
      <c r="B10" s="5"/>
      <c r="C10" s="5"/>
      <c r="D10" s="5"/>
      <c r="E10" s="5"/>
      <c r="F10" s="5"/>
      <c r="G10" s="8"/>
      <c r="H10" s="8"/>
      <c r="I10" s="8"/>
      <c r="J10" s="5"/>
      <c r="K10" s="5"/>
    </row>
    <row r="11" spans="1:11">
      <c r="A11" s="5"/>
      <c r="B11" s="5"/>
      <c r="C11" s="5"/>
      <c r="D11" s="5"/>
      <c r="E11" s="5"/>
      <c r="F11" s="5"/>
      <c r="G11" s="8"/>
      <c r="H11" s="8"/>
      <c r="I11" s="8"/>
      <c r="J11" s="5"/>
      <c r="K11" s="5"/>
    </row>
    <row r="12" spans="1:11">
      <c r="A12" s="5"/>
      <c r="B12" s="5"/>
      <c r="C12" s="5"/>
      <c r="D12" s="5"/>
      <c r="E12" s="5"/>
      <c r="F12" s="5"/>
      <c r="G12" s="8"/>
      <c r="H12" s="8"/>
      <c r="I12" s="8"/>
      <c r="J12" s="5"/>
      <c r="K12" s="5"/>
    </row>
    <row r="13" spans="1:11">
      <c r="A13" s="5"/>
      <c r="B13" s="5"/>
      <c r="C13" s="5"/>
      <c r="D13" s="5"/>
      <c r="E13" s="5"/>
      <c r="F13" s="5"/>
      <c r="G13" s="8"/>
      <c r="H13" s="8"/>
      <c r="I13" s="8"/>
      <c r="J13" s="5"/>
      <c r="K13" s="5"/>
    </row>
    <row r="14" spans="1:11">
      <c r="A14" s="5"/>
      <c r="B14" s="5"/>
      <c r="C14" s="5"/>
      <c r="D14" s="5"/>
      <c r="E14" s="5"/>
      <c r="F14" s="5"/>
      <c r="G14" s="8"/>
      <c r="H14" s="8"/>
      <c r="I14" s="8"/>
      <c r="J14" s="5"/>
      <c r="K14" s="5"/>
    </row>
    <row r="15" spans="1:11">
      <c r="A15" s="5"/>
      <c r="B15" s="5"/>
      <c r="C15" s="5"/>
      <c r="D15" s="5"/>
      <c r="E15" s="5"/>
      <c r="F15" s="5"/>
      <c r="G15" s="8"/>
      <c r="H15" s="8"/>
      <c r="I15" s="8"/>
      <c r="J15" s="5"/>
      <c r="K15" s="5"/>
    </row>
    <row r="16" spans="1:11">
      <c r="A16" s="5"/>
      <c r="B16" s="5"/>
      <c r="C16" s="5"/>
      <c r="D16" s="5"/>
      <c r="E16" s="5"/>
      <c r="F16" s="5"/>
      <c r="G16" s="8"/>
      <c r="H16" s="8"/>
      <c r="I16" s="8"/>
      <c r="J16" s="5"/>
      <c r="K16" s="5"/>
    </row>
    <row r="17" spans="1:11">
      <c r="A17" s="5"/>
      <c r="B17" s="5"/>
      <c r="C17" s="5"/>
      <c r="D17" s="5"/>
      <c r="E17" s="5"/>
      <c r="F17" s="5"/>
      <c r="G17" s="8"/>
      <c r="H17" s="8"/>
      <c r="I17" s="8"/>
      <c r="J17" s="5"/>
      <c r="K17" s="5"/>
    </row>
    <row r="18" spans="1:11">
      <c r="A18" s="5"/>
      <c r="B18" s="5"/>
      <c r="C18" s="5"/>
      <c r="D18" s="5"/>
      <c r="E18" s="5"/>
      <c r="F18" s="5"/>
      <c r="G18" s="8"/>
      <c r="H18" s="8"/>
      <c r="I18" s="8"/>
      <c r="J18" s="5"/>
      <c r="K18" s="5"/>
    </row>
    <row r="19" spans="1:11">
      <c r="A19" s="5"/>
      <c r="B19" s="5"/>
      <c r="C19" s="5"/>
      <c r="D19" s="5"/>
      <c r="E19" s="5"/>
      <c r="F19" s="5"/>
      <c r="G19" s="8"/>
      <c r="H19" s="8"/>
      <c r="I19" s="8"/>
      <c r="J19" s="5"/>
      <c r="K19" s="5"/>
    </row>
    <row r="20" spans="1:11">
      <c r="A20" s="5"/>
      <c r="B20" s="5"/>
      <c r="C20" s="5"/>
      <c r="D20" s="5"/>
      <c r="E20" s="5"/>
      <c r="F20" s="5"/>
      <c r="G20" s="8"/>
      <c r="H20" s="8"/>
      <c r="I20" s="8"/>
      <c r="J20" s="5"/>
      <c r="K20" s="5"/>
    </row>
    <row r="21" spans="1:11">
      <c r="A21" s="5"/>
      <c r="B21" s="5"/>
      <c r="C21" s="5"/>
      <c r="D21" s="5"/>
      <c r="E21" s="5"/>
      <c r="F21" s="5"/>
      <c r="G21" s="8"/>
      <c r="H21" s="8"/>
      <c r="I21" s="8"/>
      <c r="J21" s="5"/>
      <c r="K21" s="5"/>
    </row>
    <row r="22" spans="1:11">
      <c r="A22" s="5"/>
      <c r="B22" s="5"/>
      <c r="C22" s="5"/>
      <c r="D22" s="5"/>
      <c r="E22" s="5"/>
      <c r="F22" s="5"/>
      <c r="G22" s="8"/>
      <c r="H22" s="8"/>
      <c r="I22" s="8"/>
      <c r="J22" s="5"/>
      <c r="K22" s="5"/>
    </row>
    <row r="23" spans="1:11">
      <c r="A23" s="5"/>
      <c r="B23" s="5"/>
      <c r="C23" s="5"/>
      <c r="D23" s="5"/>
      <c r="E23" s="5"/>
      <c r="F23" s="5"/>
      <c r="G23" s="8"/>
      <c r="H23" s="8"/>
      <c r="I23" s="8"/>
      <c r="J23" s="5"/>
      <c r="K23" s="5"/>
    </row>
  </sheetData>
  <mergeCells count="1">
    <mergeCell ref="A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vianet</vt:lpstr>
      <vt:lpstr>QUICK</vt:lpstr>
      <vt:lpstr>AIR</vt:lpstr>
      <vt:lpstr>illya</vt:lpstr>
      <vt:lpstr>SIMULCAST</vt:lpstr>
      <vt:lpstr>max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2023-12-31T08:56:02Z</dcterms:modified>
</cp:coreProperties>
</file>