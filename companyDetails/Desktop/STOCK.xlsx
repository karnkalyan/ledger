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H1" i="2"/>
  <c r="I1" s="1"/>
  <c r="E6"/>
  <c r="E7"/>
  <c r="E8"/>
  <c r="E9"/>
  <c r="E10"/>
  <c r="E11"/>
  <c r="E12"/>
  <c r="E13"/>
  <c r="E14"/>
  <c r="E15"/>
  <c r="E1"/>
  <c r="C3"/>
  <c r="D3" s="1"/>
  <c r="E3" s="1"/>
  <c r="D1"/>
  <c r="D5"/>
  <c r="E5" s="1"/>
  <c r="H11" i="1"/>
  <c r="K12"/>
  <c r="H13"/>
  <c r="H10"/>
  <c r="K11" l="1"/>
  <c r="K13"/>
  <c r="K14"/>
  <c r="K15"/>
  <c r="K16"/>
  <c r="K17"/>
  <c r="K18"/>
  <c r="K19"/>
  <c r="K20"/>
  <c r="K21"/>
  <c r="K23"/>
  <c r="K24"/>
  <c r="K25"/>
  <c r="K26"/>
  <c r="K27"/>
  <c r="K28"/>
  <c r="K29"/>
  <c r="K30"/>
  <c r="K31"/>
  <c r="K32"/>
  <c r="K33"/>
  <c r="K34"/>
  <c r="K35"/>
  <c r="K36"/>
  <c r="L11"/>
  <c r="L18"/>
  <c r="L19"/>
  <c r="L21"/>
  <c r="L22"/>
  <c r="L23"/>
  <c r="L10"/>
  <c r="C18"/>
  <c r="C19"/>
  <c r="C21"/>
  <c r="C23"/>
  <c r="C9"/>
  <c r="C11"/>
  <c r="C8"/>
  <c r="N18" l="1"/>
  <c r="O18" s="1"/>
  <c r="P18" s="1"/>
  <c r="N19"/>
  <c r="O19" s="1"/>
  <c r="P19" s="1"/>
  <c r="N21"/>
  <c r="O21" s="1"/>
  <c r="P21" s="1"/>
  <c r="N22"/>
  <c r="O22" s="1"/>
  <c r="P22" s="1"/>
  <c r="N23"/>
  <c r="O23" s="1"/>
  <c r="P23" s="1"/>
  <c r="N10" l="1"/>
  <c r="N9"/>
  <c r="O9" s="1"/>
  <c r="P9" s="1"/>
  <c r="N8"/>
  <c r="O8" l="1"/>
  <c r="P8" s="1"/>
  <c r="O10"/>
  <c r="P10" s="1"/>
  <c r="L35" l="1"/>
  <c r="C33"/>
  <c r="C24"/>
  <c r="C30"/>
  <c r="N30"/>
  <c r="O30" s="1"/>
  <c r="P30" s="1"/>
  <c r="L34"/>
  <c r="L15"/>
  <c r="N15"/>
  <c r="O15" s="1"/>
  <c r="P15" s="1"/>
  <c r="L25"/>
  <c r="N25"/>
  <c r="O25"/>
  <c r="P25" s="1"/>
  <c r="C20"/>
  <c r="N20"/>
  <c r="O20" s="1"/>
  <c r="P20" s="1"/>
  <c r="L32"/>
  <c r="L13"/>
  <c r="N13"/>
  <c r="O13" s="1"/>
  <c r="P13" s="1"/>
  <c r="L36"/>
  <c r="L28"/>
  <c r="C14"/>
  <c r="N14"/>
  <c r="O14" s="1"/>
  <c r="P14" s="1"/>
  <c r="N27"/>
  <c r="O27" s="1"/>
  <c r="P27" s="1"/>
  <c r="N26"/>
  <c r="O26" s="1"/>
  <c r="P26" s="1"/>
  <c r="N29"/>
  <c r="O29" s="1"/>
  <c r="P29" s="1"/>
  <c r="C31"/>
  <c r="N16"/>
  <c r="O16" s="1"/>
  <c r="P16" s="1"/>
  <c r="L17"/>
  <c r="C12"/>
  <c r="N17" l="1"/>
  <c r="O17" s="1"/>
  <c r="P17" s="1"/>
  <c r="C32"/>
  <c r="C34"/>
  <c r="L24"/>
  <c r="N12"/>
  <c r="O12" s="1"/>
  <c r="P12" s="1"/>
  <c r="L14"/>
  <c r="C35"/>
  <c r="C28"/>
  <c r="C17"/>
  <c r="L20"/>
  <c r="L31"/>
  <c r="C27"/>
  <c r="C26"/>
  <c r="L12"/>
  <c r="N35"/>
  <c r="O35" s="1"/>
  <c r="P35" s="1"/>
  <c r="C16"/>
  <c r="L33"/>
  <c r="C36"/>
  <c r="L29"/>
  <c r="C13"/>
  <c r="C25"/>
  <c r="L27"/>
  <c r="L26"/>
  <c r="L30"/>
  <c r="N31"/>
  <c r="O31" s="1"/>
  <c r="P31" s="1"/>
  <c r="N28"/>
  <c r="O28" s="1"/>
  <c r="P28" s="1"/>
  <c r="N36"/>
  <c r="O36" s="1"/>
  <c r="P36" s="1"/>
  <c r="N32"/>
  <c r="O32" s="1"/>
  <c r="P32" s="1"/>
  <c r="N34"/>
  <c r="O34" s="1"/>
  <c r="P34" s="1"/>
  <c r="N24"/>
  <c r="O24" s="1"/>
  <c r="P24" s="1"/>
  <c r="N33"/>
  <c r="O33" s="1"/>
  <c r="P33" s="1"/>
  <c r="L16"/>
  <c r="C29"/>
  <c r="C15"/>
  <c r="K10"/>
  <c r="C10"/>
  <c r="C2" i="2" l="1"/>
  <c r="D2" s="1"/>
  <c r="E2" s="1"/>
  <c r="C4"/>
  <c r="D4" s="1"/>
  <c r="E4" s="1"/>
</calcChain>
</file>

<file path=xl/comments1.xml><?xml version="1.0" encoding="utf-8"?>
<comments xmlns="http://schemas.openxmlformats.org/spreadsheetml/2006/main">
  <authors>
    <author>Author</author>
  </authors>
  <commentList>
    <comment ref="I22" authorId="0">
      <text>
        <r>
          <rPr>
            <sz val="9"/>
            <color indexed="81"/>
            <rFont val="Tahoma"/>
            <family val="2"/>
          </rPr>
          <t xml:space="preserve">sale only for bill qty not given
</t>
        </r>
      </text>
    </comment>
  </commentList>
</comments>
</file>

<file path=xl/sharedStrings.xml><?xml version="1.0" encoding="utf-8"?>
<sst xmlns="http://schemas.openxmlformats.org/spreadsheetml/2006/main" count="110" uniqueCount="77">
  <si>
    <t xml:space="preserve">TOTAL </t>
  </si>
  <si>
    <t>ADD PROFIT</t>
  </si>
  <si>
    <t xml:space="preserve">PRICE PER </t>
  </si>
  <si>
    <t xml:space="preserve">VAT </t>
  </si>
  <si>
    <t>SALES</t>
  </si>
  <si>
    <t xml:space="preserve">BOOKS </t>
  </si>
  <si>
    <t xml:space="preserve">BUZZY </t>
  </si>
  <si>
    <t xml:space="preserve">VENDOR </t>
  </si>
  <si>
    <t>S.NO</t>
  </si>
  <si>
    <t xml:space="preserve">PRODUCT NAME </t>
  </si>
  <si>
    <t>CODE</t>
  </si>
  <si>
    <t>RACK</t>
  </si>
  <si>
    <t>QTY</t>
  </si>
  <si>
    <t>LANDING</t>
  </si>
  <si>
    <t>PIECE</t>
  </si>
  <si>
    <t>SALE</t>
  </si>
  <si>
    <t>RETURN</t>
  </si>
  <si>
    <t>NAME</t>
  </si>
  <si>
    <t xml:space="preserve">NAME </t>
  </si>
  <si>
    <t>SSD CARD</t>
  </si>
  <si>
    <t>NAV SOLUTION PVT LTD</t>
  </si>
  <si>
    <t>ZKP 0408</t>
  </si>
  <si>
    <t>YOLO BOX PRO EM</t>
  </si>
  <si>
    <t>MEETING ROOM</t>
  </si>
  <si>
    <t xml:space="preserve">HANGZHOU XINGXI TECH. CO LTD </t>
  </si>
  <si>
    <t xml:space="preserve">USB/ TYPE-C 2 in 1 VIDEO CAPTURE CARD grey </t>
  </si>
  <si>
    <t xml:space="preserve">HDMI Splitter 1 in 8 out black </t>
  </si>
  <si>
    <t>W-Z632</t>
  </si>
  <si>
    <t>V-HD08</t>
  </si>
  <si>
    <t>4CH HDMI PCIE CAPTURE Card</t>
  </si>
  <si>
    <t>1RU 3G-SDI 16 Channel multiviewer &amp; Switcher</t>
  </si>
  <si>
    <t>tally System 1 box+4 lamps</t>
  </si>
  <si>
    <t>VC42</t>
  </si>
  <si>
    <t>MMV1630</t>
  </si>
  <si>
    <t>TS3019-4 Tally</t>
  </si>
  <si>
    <t>JOT STICK CONTROLLER</t>
  </si>
  <si>
    <t xml:space="preserve">PTZ CONFERENCE CAMERA </t>
  </si>
  <si>
    <t>KT-KD50X</t>
  </si>
  <si>
    <t>KT-UH86DHN</t>
  </si>
  <si>
    <t>KC20N</t>
  </si>
  <si>
    <t>HDMI TO SDI CONVERTER</t>
  </si>
  <si>
    <t>SDI TO HDMI CONVERTER</t>
  </si>
  <si>
    <t>4K USB 3.0 HDMI CAPTURE</t>
  </si>
  <si>
    <t>4K *2K HDMI SPLITTER</t>
  </si>
  <si>
    <t>DT-6529A</t>
  </si>
  <si>
    <t>DT-6529B</t>
  </si>
  <si>
    <t>DT-8002</t>
  </si>
  <si>
    <t>DT-7148B(MS)</t>
  </si>
  <si>
    <t>HDMI BONDING VIDEO CONVERTER</t>
  </si>
  <si>
    <t>VIDEO CONVERTER</t>
  </si>
  <si>
    <t>NDI Video converter</t>
  </si>
  <si>
    <t>P2</t>
  </si>
  <si>
    <t>E3</t>
  </si>
  <si>
    <t>N6</t>
  </si>
  <si>
    <t xml:space="preserve">H K VLINK ELECTRONICS CO LTD </t>
  </si>
  <si>
    <t>AV MATRIX TECH CO.,LTD</t>
  </si>
  <si>
    <t>shenjhen jinjiutianshi ind. Co. ltd</t>
  </si>
  <si>
    <t>DTECH  GUANGZHOU ELEC. TECH.</t>
  </si>
  <si>
    <t>KILO VIEW ELECTRONICS CO., LTD</t>
  </si>
  <si>
    <t xml:space="preserve"> RATE </t>
  </si>
  <si>
    <t>INCLUDED VAT</t>
  </si>
  <si>
    <t>Networkig goods LSA-KUV90</t>
  </si>
  <si>
    <t>Networkig goods IDCI20 W Board</t>
  </si>
  <si>
    <t>Networking goods ODCI BOARD</t>
  </si>
  <si>
    <t>Networking goods PLL/PLL</t>
  </si>
  <si>
    <t>Networking goods PLDB 20 W/PLDB 20W</t>
  </si>
  <si>
    <t>1 TB 7200 Turn 64 m hard drive</t>
  </si>
  <si>
    <t xml:space="preserve">PD5AO HDV portable stick </t>
  </si>
  <si>
    <t>set top box</t>
  </si>
  <si>
    <t>STOCK LIST 80-81</t>
  </si>
  <si>
    <t>JOT STICK CONTROLLER VMIX CONTROLLER</t>
  </si>
  <si>
    <t>P1</t>
  </si>
  <si>
    <t>real</t>
  </si>
  <si>
    <t>opening</t>
  </si>
  <si>
    <t xml:space="preserve">NAV </t>
  </si>
  <si>
    <t>no</t>
  </si>
  <si>
    <t xml:space="preserve">no vat 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</si>
</sst>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0" fillId="3" borderId="8" xfId="0" applyFill="1" applyBorder="1"/>
    <xf numFmtId="0" fontId="0" fillId="3" borderId="9" xfId="0" applyFill="1" applyBorder="1"/>
    <xf numFmtId="0" fontId="0" fillId="3" borderId="9" xfId="0" applyFill="1" applyBorder="1" applyAlignment="1">
      <alignment horizontal="center" vertical="center"/>
    </xf>
    <xf numFmtId="0" fontId="0" fillId="3" borderId="10" xfId="0" applyFill="1" applyBorder="1"/>
    <xf numFmtId="0" fontId="3" fillId="3" borderId="11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/>
    <xf numFmtId="0" fontId="0" fillId="4" borderId="14" xfId="0" applyFill="1" applyBorder="1"/>
    <xf numFmtId="0" fontId="0" fillId="4" borderId="14" xfId="0" applyFill="1" applyBorder="1" applyAlignment="1">
      <alignment horizontal="center" vertical="center"/>
    </xf>
    <xf numFmtId="0" fontId="0" fillId="4" borderId="0" xfId="0" applyFill="1"/>
    <xf numFmtId="0" fontId="0" fillId="4" borderId="15" xfId="0" applyFill="1" applyBorder="1"/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3" borderId="9" xfId="1" applyNumberFormat="1" applyFont="1" applyFill="1" applyBorder="1"/>
    <xf numFmtId="43" fontId="0" fillId="3" borderId="12" xfId="1" applyNumberFormat="1" applyFont="1" applyFill="1" applyBorder="1"/>
    <xf numFmtId="43" fontId="0" fillId="4" borderId="14" xfId="1" applyNumberFormat="1" applyFont="1" applyFill="1" applyBorder="1"/>
    <xf numFmtId="43" fontId="0" fillId="0" borderId="14" xfId="1" applyNumberFormat="1" applyFont="1" applyBorder="1"/>
    <xf numFmtId="43" fontId="0" fillId="0" borderId="0" xfId="1" applyNumberFormat="1" applyFont="1"/>
    <xf numFmtId="43" fontId="0" fillId="0" borderId="14" xfId="1" applyFont="1" applyBorder="1"/>
    <xf numFmtId="0" fontId="3" fillId="3" borderId="9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0" fillId="5" borderId="14" xfId="0" applyFill="1" applyBorder="1" applyAlignment="1">
      <alignment vertical="center"/>
    </xf>
    <xf numFmtId="0" fontId="0" fillId="5" borderId="14" xfId="0" applyFill="1" applyBorder="1"/>
    <xf numFmtId="0" fontId="0" fillId="5" borderId="14" xfId="0" applyFill="1" applyBorder="1" applyAlignment="1">
      <alignment horizontal="center" vertical="center"/>
    </xf>
    <xf numFmtId="43" fontId="0" fillId="5" borderId="14" xfId="1" applyNumberFormat="1" applyFont="1" applyFill="1" applyBorder="1"/>
    <xf numFmtId="0" fontId="0" fillId="5" borderId="14" xfId="0" applyFill="1" applyBorder="1" applyAlignment="1"/>
    <xf numFmtId="0" fontId="0" fillId="5" borderId="14" xfId="0" applyFill="1" applyBorder="1" applyAlignment="1">
      <alignment horizontal="center"/>
    </xf>
    <xf numFmtId="43" fontId="0" fillId="5" borderId="14" xfId="1" applyNumberFormat="1" applyFont="1" applyFill="1" applyBorder="1" applyAlignment="1"/>
    <xf numFmtId="0" fontId="4" fillId="5" borderId="14" xfId="0" applyFont="1" applyFill="1" applyBorder="1"/>
    <xf numFmtId="43" fontId="1" fillId="5" borderId="14" xfId="1" applyNumberFormat="1" applyFont="1" applyFill="1" applyBorder="1"/>
    <xf numFmtId="0" fontId="1" fillId="5" borderId="14" xfId="0" applyFont="1" applyFill="1" applyBorder="1" applyAlignment="1">
      <alignment horizontal="center" vertical="center"/>
    </xf>
    <xf numFmtId="43" fontId="0" fillId="5" borderId="14" xfId="1" applyFont="1" applyFill="1" applyBorder="1"/>
    <xf numFmtId="0" fontId="0" fillId="0" borderId="14" xfId="0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5" borderId="14" xfId="0" applyFont="1" applyFill="1" applyBorder="1"/>
    <xf numFmtId="164" fontId="0" fillId="4" borderId="14" xfId="1" applyNumberFormat="1" applyFont="1" applyFill="1" applyBorder="1" applyAlignment="1">
      <alignment horizontal="center" vertical="center"/>
    </xf>
    <xf numFmtId="164" fontId="4" fillId="3" borderId="9" xfId="1" applyNumberFormat="1" applyFont="1" applyFill="1" applyBorder="1" applyAlignment="1">
      <alignment vertical="center"/>
    </xf>
    <xf numFmtId="164" fontId="0" fillId="3" borderId="12" xfId="1" applyNumberFormat="1" applyFont="1" applyFill="1" applyBorder="1" applyAlignment="1">
      <alignment vertical="center"/>
    </xf>
    <xf numFmtId="164" fontId="0" fillId="4" borderId="14" xfId="1" applyNumberFormat="1" applyFont="1" applyFill="1" applyBorder="1" applyAlignment="1">
      <alignment vertical="center"/>
    </xf>
    <xf numFmtId="164" fontId="0" fillId="5" borderId="14" xfId="1" applyNumberFormat="1" applyFont="1" applyFill="1" applyBorder="1" applyAlignment="1">
      <alignment vertical="center"/>
    </xf>
    <xf numFmtId="164" fontId="1" fillId="5" borderId="14" xfId="1" applyNumberFormat="1" applyFont="1" applyFill="1" applyBorder="1" applyAlignment="1">
      <alignment vertical="center"/>
    </xf>
    <xf numFmtId="164" fontId="0" fillId="0" borderId="14" xfId="1" applyNumberFormat="1" applyFont="1" applyBorder="1" applyAlignment="1">
      <alignment vertical="center"/>
    </xf>
    <xf numFmtId="164" fontId="0" fillId="0" borderId="0" xfId="1" applyNumberFormat="1" applyFont="1" applyAlignment="1">
      <alignment vertical="center"/>
    </xf>
    <xf numFmtId="0" fontId="2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</cellXfs>
  <cellStyles count="2">
    <cellStyle name="Comma" xfId="1" builtinId="3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LE"/>
      <sheetName val="PAYMENT"/>
      <sheetName val="Sheet3"/>
    </sheetNames>
    <sheetDataSet>
      <sheetData sheetId="0">
        <row r="1">
          <cell r="A1" t="str">
            <v>SALE 2080-81</v>
          </cell>
        </row>
        <row r="5">
          <cell r="A5" t="str">
            <v xml:space="preserve">S NO </v>
          </cell>
          <cell r="B5" t="str">
            <v xml:space="preserve">MITTI </v>
          </cell>
          <cell r="C5" t="str">
            <v>DATE</v>
          </cell>
          <cell r="D5" t="str">
            <v xml:space="preserve">VAT </v>
          </cell>
          <cell r="E5" t="str">
            <v>CLIENT NAME</v>
          </cell>
          <cell r="F5" t="str">
            <v>PRODUCT NAME</v>
          </cell>
          <cell r="G5" t="str">
            <v>QTY</v>
          </cell>
          <cell r="H5" t="str">
            <v>RATE</v>
          </cell>
          <cell r="I5" t="str">
            <v>TOTAL</v>
          </cell>
          <cell r="J5" t="str">
            <v>VAT</v>
          </cell>
          <cell r="K5" t="str">
            <v xml:space="preserve">TOTAL </v>
          </cell>
          <cell r="L5" t="str">
            <v xml:space="preserve">BILL </v>
          </cell>
          <cell r="M5" t="str">
            <v>PAYMENT</v>
          </cell>
        </row>
        <row r="6">
          <cell r="D6" t="str">
            <v>BILL NO</v>
          </cell>
          <cell r="L6" t="str">
            <v>AMOUNT</v>
          </cell>
          <cell r="M6" t="str">
            <v>CHQ</v>
          </cell>
          <cell r="N6" t="str">
            <v>CASH</v>
          </cell>
          <cell r="O6" t="str">
            <v xml:space="preserve">ONLINE </v>
          </cell>
          <cell r="P6" t="str">
            <v>CREDIT</v>
          </cell>
        </row>
        <row r="8">
          <cell r="A8">
            <v>1</v>
          </cell>
          <cell r="B8" t="str">
            <v>15.04.80</v>
          </cell>
          <cell r="C8" t="str">
            <v>30.06.23</v>
          </cell>
          <cell r="D8">
            <v>1</v>
          </cell>
          <cell r="E8" t="str">
            <v>Nepal news Bank pvt ltd</v>
          </cell>
          <cell r="F8" t="str">
            <v xml:space="preserve">Ak Usd 3.0 HDMI capture </v>
          </cell>
          <cell r="G8">
            <v>1</v>
          </cell>
          <cell r="H8">
            <v>8850</v>
          </cell>
          <cell r="I8">
            <v>8850</v>
          </cell>
          <cell r="J8">
            <v>1150</v>
          </cell>
          <cell r="K8">
            <v>10000</v>
          </cell>
          <cell r="L8">
            <v>10000</v>
          </cell>
        </row>
        <row r="11">
          <cell r="A11">
            <v>2</v>
          </cell>
          <cell r="B11" t="str">
            <v>15.04.80</v>
          </cell>
          <cell r="C11" t="str">
            <v>30.06.23</v>
          </cell>
          <cell r="D11">
            <v>2</v>
          </cell>
          <cell r="E11" t="str">
            <v xml:space="preserve">Nepal news bank pvt ltd </v>
          </cell>
          <cell r="F11" t="str">
            <v xml:space="preserve">4K USD 3.0 HDMI capture </v>
          </cell>
          <cell r="G11">
            <v>1</v>
          </cell>
          <cell r="H11">
            <v>8850</v>
          </cell>
          <cell r="I11">
            <v>8850</v>
          </cell>
          <cell r="J11">
            <v>1150</v>
          </cell>
          <cell r="K11">
            <v>10000</v>
          </cell>
          <cell r="L11">
            <v>10000</v>
          </cell>
        </row>
        <row r="14">
          <cell r="A14">
            <v>3</v>
          </cell>
          <cell r="B14" t="str">
            <v>05.05.80</v>
          </cell>
          <cell r="C14" t="str">
            <v>22.08.23</v>
          </cell>
          <cell r="D14">
            <v>3</v>
          </cell>
          <cell r="E14" t="str">
            <v>simucast technologies pvt ltd</v>
          </cell>
          <cell r="F14" t="str">
            <v>SDI TO HDMI CONVERTER</v>
          </cell>
          <cell r="G14">
            <v>1</v>
          </cell>
          <cell r="H14">
            <v>6017.7</v>
          </cell>
          <cell r="I14">
            <v>6017.7</v>
          </cell>
          <cell r="J14">
            <v>782.30100000000004</v>
          </cell>
          <cell r="K14">
            <v>6800.0010000000002</v>
          </cell>
          <cell r="L14">
            <v>22799.987400000002</v>
          </cell>
        </row>
        <row r="15">
          <cell r="F15" t="str">
            <v>4K*2K HDMI SPLITTER</v>
          </cell>
          <cell r="G15">
            <v>4</v>
          </cell>
          <cell r="H15">
            <v>3539.82</v>
          </cell>
          <cell r="I15">
            <v>14159.28</v>
          </cell>
          <cell r="J15">
            <v>1840.7064000000003</v>
          </cell>
          <cell r="K15">
            <v>15999.986400000002</v>
          </cell>
        </row>
        <row r="18">
          <cell r="A18">
            <v>4</v>
          </cell>
          <cell r="B18" t="str">
            <v>15.05.80</v>
          </cell>
          <cell r="C18" t="str">
            <v>01.09.23</v>
          </cell>
          <cell r="D18">
            <v>4</v>
          </cell>
          <cell r="E18" t="str">
            <v xml:space="preserve">simulcast </v>
          </cell>
          <cell r="F18" t="str">
            <v>yolo box pro EM</v>
          </cell>
          <cell r="G18">
            <v>1</v>
          </cell>
          <cell r="H18">
            <v>130000</v>
          </cell>
          <cell r="I18">
            <v>130000</v>
          </cell>
          <cell r="J18">
            <v>16900</v>
          </cell>
          <cell r="K18">
            <v>146900</v>
          </cell>
          <cell r="L18">
            <v>146900</v>
          </cell>
        </row>
        <row r="20">
          <cell r="C20" t="str">
            <v>17.08.23</v>
          </cell>
          <cell r="E20" t="str">
            <v xml:space="preserve">BIKASH SHARMA PBL CIPS </v>
          </cell>
          <cell r="F20" t="str">
            <v>4CH HDMI PCIE CAPTURE Card VC 42</v>
          </cell>
          <cell r="G20">
            <v>1</v>
          </cell>
          <cell r="H20">
            <v>45000</v>
          </cell>
          <cell r="I20">
            <v>45000</v>
          </cell>
          <cell r="J20">
            <v>0</v>
          </cell>
          <cell r="K20">
            <v>0</v>
          </cell>
          <cell r="L20">
            <v>45000</v>
          </cell>
        </row>
        <row r="22">
          <cell r="A22">
            <v>5</v>
          </cell>
          <cell r="B22" t="str">
            <v>17.06.80</v>
          </cell>
          <cell r="C22" t="str">
            <v>04.10.23</v>
          </cell>
          <cell r="D22">
            <v>5</v>
          </cell>
          <cell r="E22" t="str">
            <v>EMAZING PVT LTD</v>
          </cell>
          <cell r="F22" t="str">
            <v xml:space="preserve">DTECH HDMI CABLE 10 M </v>
          </cell>
          <cell r="G22">
            <v>6</v>
          </cell>
          <cell r="H22">
            <v>1550</v>
          </cell>
          <cell r="I22">
            <v>9300</v>
          </cell>
          <cell r="J22">
            <v>1209</v>
          </cell>
          <cell r="K22">
            <v>10509</v>
          </cell>
          <cell r="L22">
            <v>10509</v>
          </cell>
        </row>
        <row r="23">
          <cell r="K23">
            <v>0</v>
          </cell>
        </row>
        <row r="24">
          <cell r="K24">
            <v>0</v>
          </cell>
        </row>
        <row r="25">
          <cell r="A25">
            <v>6</v>
          </cell>
          <cell r="B25" t="str">
            <v>28.06.80</v>
          </cell>
          <cell r="C25" t="str">
            <v>16.10.23</v>
          </cell>
          <cell r="D25">
            <v>7</v>
          </cell>
          <cell r="E25" t="str">
            <v xml:space="preserve">simulcast tech pvt ltd </v>
          </cell>
          <cell r="F25" t="str">
            <v xml:space="preserve">HDMI 4K 50M </v>
          </cell>
          <cell r="G25">
            <v>1</v>
          </cell>
          <cell r="H25">
            <v>18000</v>
          </cell>
          <cell r="I25">
            <v>18000</v>
          </cell>
          <cell r="J25">
            <v>2340</v>
          </cell>
          <cell r="K25">
            <v>20340</v>
          </cell>
          <cell r="L25">
            <v>30510</v>
          </cell>
        </row>
        <row r="26">
          <cell r="F26" t="str">
            <v>HDMI 4K 30M</v>
          </cell>
          <cell r="G26">
            <v>1</v>
          </cell>
          <cell r="H26">
            <v>9000</v>
          </cell>
          <cell r="I26">
            <v>9000</v>
          </cell>
          <cell r="J26">
            <v>1170</v>
          </cell>
          <cell r="K26">
            <v>10170</v>
          </cell>
        </row>
        <row r="29">
          <cell r="A29">
            <v>7</v>
          </cell>
          <cell r="B29" t="str">
            <v>22.07.80</v>
          </cell>
          <cell r="C29" t="str">
            <v>08.11.23</v>
          </cell>
          <cell r="D29">
            <v>8</v>
          </cell>
          <cell r="E29" t="str">
            <v>EMAZING PVT LTD</v>
          </cell>
          <cell r="F29" t="str">
            <v>HDMI 30M CABLE</v>
          </cell>
          <cell r="G29">
            <v>4</v>
          </cell>
          <cell r="H29">
            <v>10975</v>
          </cell>
          <cell r="I29">
            <v>43900</v>
          </cell>
          <cell r="J29">
            <v>5707</v>
          </cell>
          <cell r="K29">
            <v>49607</v>
          </cell>
          <cell r="L29">
            <v>49607</v>
          </cell>
        </row>
        <row r="32">
          <cell r="A32">
            <v>8</v>
          </cell>
          <cell r="B32" t="str">
            <v>08.08.80</v>
          </cell>
          <cell r="C32" t="str">
            <v>24.11.23</v>
          </cell>
          <cell r="D32">
            <v>10</v>
          </cell>
          <cell r="E32" t="str">
            <v xml:space="preserve">AUDIO CRAFT NEPAL PVT LTD </v>
          </cell>
          <cell r="F32" t="str">
            <v>60M DROP CABLE</v>
          </cell>
          <cell r="G32">
            <v>3</v>
          </cell>
          <cell r="H32">
            <v>1700</v>
          </cell>
          <cell r="I32">
            <v>5100</v>
          </cell>
          <cell r="J32">
            <v>663</v>
          </cell>
          <cell r="K32">
            <v>5763</v>
          </cell>
          <cell r="L32">
            <v>6695.25</v>
          </cell>
        </row>
        <row r="33">
          <cell r="F33" t="str">
            <v>SC-SC ADAPTER</v>
          </cell>
          <cell r="G33">
            <v>3</v>
          </cell>
          <cell r="H33">
            <v>275</v>
          </cell>
          <cell r="I33">
            <v>825</v>
          </cell>
          <cell r="J33">
            <v>107.25</v>
          </cell>
          <cell r="K33">
            <v>932.25</v>
          </cell>
        </row>
        <row r="34">
          <cell r="I34">
            <v>0</v>
          </cell>
          <cell r="J34">
            <v>0</v>
          </cell>
          <cell r="K34">
            <v>0</v>
          </cell>
        </row>
        <row r="35">
          <cell r="K35">
            <v>0</v>
          </cell>
        </row>
        <row r="36">
          <cell r="B36" t="str">
            <v>09.08.2080</v>
          </cell>
          <cell r="C36" t="str">
            <v>25.11.23</v>
          </cell>
          <cell r="D36">
            <v>11</v>
          </cell>
          <cell r="E36" t="str">
            <v xml:space="preserve">simulcast </v>
          </cell>
          <cell r="F36" t="str">
            <v>server Dell T40</v>
          </cell>
          <cell r="G36">
            <v>1</v>
          </cell>
          <cell r="H36">
            <v>92500</v>
          </cell>
          <cell r="I36">
            <v>92500</v>
          </cell>
          <cell r="J36">
            <v>12025</v>
          </cell>
          <cell r="K36">
            <v>104525</v>
          </cell>
          <cell r="L36">
            <v>104525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74"/>
  <sheetViews>
    <sheetView tabSelected="1" topLeftCell="A16" workbookViewId="0">
      <selection activeCell="G10" sqref="G10"/>
    </sheetView>
  </sheetViews>
  <sheetFormatPr defaultRowHeight="15"/>
  <cols>
    <col min="1" max="1" width="4.140625" customWidth="1"/>
    <col min="2" max="2" width="48.7109375" bestFit="1" customWidth="1"/>
    <col min="3" max="3" width="7" style="15" customWidth="1"/>
    <col min="4" max="4" width="13.42578125" bestFit="1" customWidth="1"/>
    <col min="5" max="5" width="11.28515625" bestFit="1" customWidth="1"/>
    <col min="6" max="6" width="5.140625" style="15" customWidth="1"/>
    <col min="7" max="7" width="11.7109375" style="48" customWidth="1"/>
    <col min="8" max="8" width="5.7109375" style="15" customWidth="1"/>
    <col min="9" max="9" width="5.140625" style="15" bestFit="1" customWidth="1"/>
    <col min="10" max="10" width="6.28515625" style="15" customWidth="1"/>
    <col min="11" max="11" width="4.42578125" style="15" bestFit="1" customWidth="1"/>
    <col min="12" max="12" width="7.140625" style="15" customWidth="1"/>
    <col min="13" max="14" width="12.28515625" style="20" bestFit="1" customWidth="1"/>
    <col min="15" max="15" width="13.140625" style="20" bestFit="1" customWidth="1"/>
    <col min="16" max="16" width="11.5703125" style="20" bestFit="1" customWidth="1"/>
    <col min="18" max="18" width="31" bestFit="1" customWidth="1"/>
  </cols>
  <sheetData>
    <row r="1" spans="1:29">
      <c r="A1" s="49" t="s">
        <v>69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1"/>
    </row>
    <row r="2" spans="1:29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4"/>
    </row>
    <row r="3" spans="1:29" ht="15.75" thickBot="1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5"/>
      <c r="V3" s="55"/>
      <c r="W3" s="55"/>
      <c r="X3" s="55"/>
      <c r="Y3" s="55"/>
      <c r="Z3" s="55"/>
      <c r="AA3" s="55"/>
      <c r="AB3" s="55"/>
      <c r="AC3" s="56"/>
    </row>
    <row r="4" spans="1:29">
      <c r="A4" s="1"/>
      <c r="B4" s="2"/>
      <c r="C4" s="3"/>
      <c r="D4" s="2"/>
      <c r="E4" s="2"/>
      <c r="F4" s="37" t="s">
        <v>73</v>
      </c>
      <c r="G4" s="42" t="s">
        <v>60</v>
      </c>
      <c r="H4" s="22" t="s">
        <v>76</v>
      </c>
      <c r="I4" s="36" t="s">
        <v>3</v>
      </c>
      <c r="J4" s="22" t="s">
        <v>4</v>
      </c>
      <c r="K4" s="36" t="s">
        <v>72</v>
      </c>
      <c r="L4" s="36" t="s">
        <v>5</v>
      </c>
      <c r="M4" s="16"/>
      <c r="N4" s="16" t="s">
        <v>0</v>
      </c>
      <c r="O4" s="16" t="s">
        <v>1</v>
      </c>
      <c r="P4" s="16" t="s">
        <v>2</v>
      </c>
      <c r="Q4" s="2" t="s">
        <v>6</v>
      </c>
      <c r="R4" s="2" t="s">
        <v>7</v>
      </c>
      <c r="S4" s="2"/>
      <c r="T4" s="4"/>
    </row>
    <row r="5" spans="1:29" ht="15.75" thickBot="1">
      <c r="A5" s="5" t="s">
        <v>8</v>
      </c>
      <c r="B5" s="6" t="s">
        <v>9</v>
      </c>
      <c r="C5" s="7" t="s">
        <v>12</v>
      </c>
      <c r="D5" s="6" t="s">
        <v>10</v>
      </c>
      <c r="E5" s="6" t="s">
        <v>11</v>
      </c>
      <c r="F5" s="39" t="s">
        <v>12</v>
      </c>
      <c r="G5" s="43" t="s">
        <v>59</v>
      </c>
      <c r="H5" s="23" t="s">
        <v>15</v>
      </c>
      <c r="I5" s="38" t="s">
        <v>15</v>
      </c>
      <c r="J5" s="23" t="s">
        <v>16</v>
      </c>
      <c r="K5" s="38" t="s">
        <v>12</v>
      </c>
      <c r="L5" s="38" t="s">
        <v>12</v>
      </c>
      <c r="M5" s="17" t="s">
        <v>13</v>
      </c>
      <c r="N5" s="17" t="s">
        <v>13</v>
      </c>
      <c r="O5" s="17">
        <v>0.25</v>
      </c>
      <c r="P5" s="17" t="s">
        <v>14</v>
      </c>
      <c r="Q5" s="6" t="s">
        <v>17</v>
      </c>
      <c r="R5" s="6" t="s">
        <v>18</v>
      </c>
      <c r="S5" s="6"/>
      <c r="T5" s="8"/>
    </row>
    <row r="8" spans="1:29">
      <c r="A8" s="9">
        <v>1</v>
      </c>
      <c r="B8" s="9" t="s">
        <v>19</v>
      </c>
      <c r="C8" s="14">
        <f>F8-H8-I8+J8</f>
        <v>329</v>
      </c>
      <c r="D8" s="9"/>
      <c r="E8" s="9"/>
      <c r="F8" s="10">
        <v>329</v>
      </c>
      <c r="G8" s="41">
        <v>2500</v>
      </c>
      <c r="H8" s="10"/>
      <c r="I8" s="10"/>
      <c r="J8" s="10"/>
      <c r="K8" s="10"/>
      <c r="L8" s="10">
        <v>329</v>
      </c>
      <c r="M8" s="18">
        <v>1977.27</v>
      </c>
      <c r="N8" s="18">
        <f>M8*F8</f>
        <v>650521.82999999996</v>
      </c>
      <c r="O8" s="18">
        <f>N8*125%</f>
        <v>813152.28749999998</v>
      </c>
      <c r="P8" s="18">
        <f>O8/F8</f>
        <v>2471.5875000000001</v>
      </c>
      <c r="Q8" s="9"/>
      <c r="R8" s="9" t="s">
        <v>20</v>
      </c>
      <c r="S8" s="12"/>
      <c r="T8" s="9"/>
      <c r="U8" s="11"/>
      <c r="V8" s="11"/>
      <c r="W8" s="11"/>
      <c r="X8" s="11"/>
    </row>
    <row r="9" spans="1:29">
      <c r="A9" s="9">
        <v>2</v>
      </c>
      <c r="B9" s="9" t="s">
        <v>21</v>
      </c>
      <c r="C9" s="14">
        <f t="shared" ref="C9:C36" si="0">F9-H9-I9+J9</f>
        <v>5</v>
      </c>
      <c r="D9" s="9"/>
      <c r="E9" s="9"/>
      <c r="F9" s="10">
        <v>5</v>
      </c>
      <c r="G9" s="44">
        <v>8899</v>
      </c>
      <c r="H9" s="10"/>
      <c r="I9" s="10"/>
      <c r="J9" s="10"/>
      <c r="K9" s="10"/>
      <c r="L9" s="10">
        <v>5</v>
      </c>
      <c r="M9" s="18">
        <v>7051.2</v>
      </c>
      <c r="N9" s="18">
        <f t="shared" ref="N9:N19" si="1">M9*F9</f>
        <v>35256</v>
      </c>
      <c r="O9" s="18">
        <f t="shared" ref="O9:O36" si="2">N9*125%</f>
        <v>44070</v>
      </c>
      <c r="P9" s="18">
        <f t="shared" ref="P9:P36" si="3">O9/F9</f>
        <v>8814</v>
      </c>
      <c r="Q9" s="9"/>
      <c r="R9" s="9" t="s">
        <v>20</v>
      </c>
      <c r="S9" s="9"/>
      <c r="T9" s="9"/>
      <c r="U9" s="11"/>
      <c r="V9" s="11"/>
      <c r="W9" s="11"/>
      <c r="X9" s="11"/>
    </row>
    <row r="10" spans="1:29">
      <c r="A10" s="25">
        <v>3</v>
      </c>
      <c r="B10" s="24" t="s">
        <v>22</v>
      </c>
      <c r="C10" s="14">
        <f t="shared" si="0"/>
        <v>3</v>
      </c>
      <c r="D10" s="25"/>
      <c r="E10" s="40" t="s">
        <v>23</v>
      </c>
      <c r="F10" s="10">
        <v>5</v>
      </c>
      <c r="G10" s="45">
        <v>170000</v>
      </c>
      <c r="H10" s="26">
        <f>SUMIF([1]SALE!$F$7:$F$46,B8:B47,[1]SALE!$G$7:$G$46)</f>
        <v>1</v>
      </c>
      <c r="I10" s="26">
        <v>1</v>
      </c>
      <c r="J10" s="26"/>
      <c r="K10" s="26">
        <f>F10-H10-I10</f>
        <v>3</v>
      </c>
      <c r="L10" s="26">
        <f>F10-I10+J10</f>
        <v>4</v>
      </c>
      <c r="M10" s="27">
        <v>128918</v>
      </c>
      <c r="N10" s="27">
        <f t="shared" si="1"/>
        <v>644590</v>
      </c>
      <c r="O10" s="27">
        <f t="shared" si="2"/>
        <v>805737.5</v>
      </c>
      <c r="P10" s="27">
        <f t="shared" si="3"/>
        <v>161147.5</v>
      </c>
      <c r="Q10" s="25"/>
      <c r="R10" s="28" t="s">
        <v>24</v>
      </c>
      <c r="S10" s="25"/>
      <c r="T10" s="25"/>
      <c r="U10" s="11"/>
      <c r="V10" s="11"/>
      <c r="W10" s="11"/>
      <c r="X10" s="11"/>
    </row>
    <row r="11" spans="1:29">
      <c r="A11" s="25"/>
      <c r="B11" s="24"/>
      <c r="C11" s="14">
        <f t="shared" si="0"/>
        <v>0</v>
      </c>
      <c r="D11" s="25"/>
      <c r="E11" s="25"/>
      <c r="F11" s="10"/>
      <c r="G11" s="45"/>
      <c r="H11" s="26">
        <f>SUMIF([1]SALE!$F$7:$F$46,B9:B48,[1]SALE!$G$7:$G$46)</f>
        <v>0</v>
      </c>
      <c r="I11" s="26"/>
      <c r="J11" s="26"/>
      <c r="K11" s="26">
        <f t="shared" ref="K11:K36" si="4">F11-H11-I11</f>
        <v>0</v>
      </c>
      <c r="L11" s="26">
        <f t="shared" ref="L11:L36" si="5">F11-I11+J11</f>
        <v>0</v>
      </c>
      <c r="M11" s="27"/>
      <c r="N11" s="27"/>
      <c r="O11" s="27"/>
      <c r="P11" s="27"/>
      <c r="Q11" s="25"/>
      <c r="R11" s="28"/>
      <c r="S11" s="25"/>
      <c r="T11" s="25"/>
      <c r="U11" s="11"/>
      <c r="V11" s="11"/>
      <c r="W11" s="11"/>
      <c r="X11" s="11"/>
    </row>
    <row r="12" spans="1:29">
      <c r="A12" s="13">
        <v>4</v>
      </c>
      <c r="B12" s="13" t="s">
        <v>25</v>
      </c>
      <c r="C12" s="14">
        <f t="shared" si="0"/>
        <v>9</v>
      </c>
      <c r="D12" s="29" t="s">
        <v>27</v>
      </c>
      <c r="E12" s="25"/>
      <c r="F12" s="10">
        <v>10</v>
      </c>
      <c r="G12" s="45">
        <v>1600</v>
      </c>
      <c r="H12" s="26">
        <v>1</v>
      </c>
      <c r="I12" s="26"/>
      <c r="J12" s="26"/>
      <c r="K12" s="26">
        <f>F12-(H12+I12)</f>
        <v>9</v>
      </c>
      <c r="L12" s="26">
        <f t="shared" si="5"/>
        <v>10</v>
      </c>
      <c r="M12" s="30">
        <v>1274.3800000000001</v>
      </c>
      <c r="N12" s="27">
        <f t="shared" si="1"/>
        <v>12743.800000000001</v>
      </c>
      <c r="O12" s="27">
        <f t="shared" si="2"/>
        <v>15929.750000000002</v>
      </c>
      <c r="P12" s="27">
        <f t="shared" si="3"/>
        <v>1592.9750000000001</v>
      </c>
      <c r="Q12" s="25"/>
      <c r="R12" s="25" t="s">
        <v>54</v>
      </c>
      <c r="S12" s="25"/>
      <c r="T12" s="25"/>
    </row>
    <row r="13" spans="1:29">
      <c r="A13" s="13">
        <v>5</v>
      </c>
      <c r="B13" s="13" t="s">
        <v>26</v>
      </c>
      <c r="C13" s="14">
        <f t="shared" si="0"/>
        <v>10</v>
      </c>
      <c r="D13" s="29" t="s">
        <v>28</v>
      </c>
      <c r="E13" s="25"/>
      <c r="F13" s="10">
        <v>10</v>
      </c>
      <c r="G13" s="45">
        <v>4099</v>
      </c>
      <c r="H13" s="26">
        <f>SUMIF([1]SALE!$F$7:$F$46,B11:B50,[1]SALE!$G$7:$G$46)</f>
        <v>0</v>
      </c>
      <c r="I13" s="26"/>
      <c r="J13" s="26"/>
      <c r="K13" s="26">
        <f t="shared" si="4"/>
        <v>10</v>
      </c>
      <c r="L13" s="26">
        <f t="shared" si="5"/>
        <v>10</v>
      </c>
      <c r="M13" s="30">
        <v>3226.25</v>
      </c>
      <c r="N13" s="27">
        <f t="shared" si="1"/>
        <v>32262.5</v>
      </c>
      <c r="O13" s="27">
        <f t="shared" si="2"/>
        <v>40328.125</v>
      </c>
      <c r="P13" s="27">
        <f t="shared" si="3"/>
        <v>4032.8125</v>
      </c>
      <c r="Q13" s="25"/>
      <c r="R13" s="25" t="s">
        <v>54</v>
      </c>
      <c r="S13" s="25"/>
      <c r="T13" s="25"/>
    </row>
    <row r="14" spans="1:29">
      <c r="A14" s="13">
        <v>6</v>
      </c>
      <c r="B14" s="13" t="s">
        <v>29</v>
      </c>
      <c r="C14" s="14">
        <f t="shared" si="0"/>
        <v>4</v>
      </c>
      <c r="D14" s="29" t="s">
        <v>32</v>
      </c>
      <c r="E14" s="25"/>
      <c r="F14" s="10">
        <v>5</v>
      </c>
      <c r="G14" s="45">
        <v>47500</v>
      </c>
      <c r="H14" s="26">
        <v>1</v>
      </c>
      <c r="I14" s="26"/>
      <c r="J14" s="26"/>
      <c r="K14" s="26">
        <f t="shared" si="4"/>
        <v>4</v>
      </c>
      <c r="L14" s="26">
        <f t="shared" si="5"/>
        <v>5</v>
      </c>
      <c r="M14" s="27">
        <v>37717.1</v>
      </c>
      <c r="N14" s="27">
        <f t="shared" si="1"/>
        <v>188585.5</v>
      </c>
      <c r="O14" s="27">
        <f t="shared" si="2"/>
        <v>235731.875</v>
      </c>
      <c r="P14" s="27">
        <f t="shared" si="3"/>
        <v>47146.375</v>
      </c>
      <c r="Q14" s="25"/>
      <c r="R14" s="31" t="s">
        <v>55</v>
      </c>
      <c r="S14" s="25"/>
      <c r="T14" s="25"/>
    </row>
    <row r="15" spans="1:29">
      <c r="A15" s="13">
        <v>7</v>
      </c>
      <c r="B15" s="13" t="s">
        <v>30</v>
      </c>
      <c r="C15" s="14">
        <f t="shared" si="0"/>
        <v>0</v>
      </c>
      <c r="D15" s="29" t="s">
        <v>33</v>
      </c>
      <c r="E15" s="25"/>
      <c r="F15" s="10">
        <v>1</v>
      </c>
      <c r="G15" s="45">
        <v>196500</v>
      </c>
      <c r="H15" s="26">
        <v>1</v>
      </c>
      <c r="I15" s="26"/>
      <c r="J15" s="26"/>
      <c r="K15" s="26">
        <f t="shared" si="4"/>
        <v>0</v>
      </c>
      <c r="L15" s="26">
        <f t="shared" si="5"/>
        <v>1</v>
      </c>
      <c r="M15" s="27">
        <v>157206.56</v>
      </c>
      <c r="N15" s="27">
        <f t="shared" si="1"/>
        <v>157206.56</v>
      </c>
      <c r="O15" s="27">
        <f t="shared" si="2"/>
        <v>196508.2</v>
      </c>
      <c r="P15" s="27">
        <f t="shared" si="3"/>
        <v>196508.2</v>
      </c>
      <c r="Q15" s="25"/>
      <c r="R15" s="31" t="s">
        <v>55</v>
      </c>
      <c r="S15" s="25"/>
      <c r="T15" s="25"/>
    </row>
    <row r="16" spans="1:29">
      <c r="A16" s="13">
        <v>8</v>
      </c>
      <c r="B16" s="13" t="s">
        <v>31</v>
      </c>
      <c r="C16" s="14">
        <f t="shared" si="0"/>
        <v>0</v>
      </c>
      <c r="D16" s="29" t="s">
        <v>34</v>
      </c>
      <c r="E16" s="25"/>
      <c r="F16" s="10">
        <v>1</v>
      </c>
      <c r="G16" s="45">
        <v>62600</v>
      </c>
      <c r="H16" s="26">
        <v>1</v>
      </c>
      <c r="I16" s="26"/>
      <c r="J16" s="26"/>
      <c r="K16" s="26">
        <f t="shared" si="4"/>
        <v>0</v>
      </c>
      <c r="L16" s="26">
        <f t="shared" si="5"/>
        <v>1</v>
      </c>
      <c r="M16" s="27">
        <v>50036.15</v>
      </c>
      <c r="N16" s="27">
        <f t="shared" si="1"/>
        <v>50036.15</v>
      </c>
      <c r="O16" s="27">
        <f t="shared" si="2"/>
        <v>62545.1875</v>
      </c>
      <c r="P16" s="27">
        <f t="shared" si="3"/>
        <v>62545.1875</v>
      </c>
      <c r="Q16" s="25"/>
      <c r="R16" s="31" t="s">
        <v>55</v>
      </c>
      <c r="S16" s="25"/>
      <c r="T16" s="25"/>
    </row>
    <row r="17" spans="1:20">
      <c r="A17" s="13">
        <v>9</v>
      </c>
      <c r="B17" s="13" t="s">
        <v>70</v>
      </c>
      <c r="C17" s="14">
        <f t="shared" si="0"/>
        <v>4</v>
      </c>
      <c r="D17" s="29" t="s">
        <v>37</v>
      </c>
      <c r="E17" s="25"/>
      <c r="F17" s="10">
        <v>5</v>
      </c>
      <c r="G17" s="45">
        <v>76000</v>
      </c>
      <c r="H17" s="26">
        <v>1</v>
      </c>
      <c r="I17" s="26"/>
      <c r="J17" s="26"/>
      <c r="K17" s="26">
        <f t="shared" si="4"/>
        <v>4</v>
      </c>
      <c r="L17" s="26">
        <f t="shared" si="5"/>
        <v>5</v>
      </c>
      <c r="M17" s="27">
        <v>60665.18</v>
      </c>
      <c r="N17" s="27">
        <f t="shared" si="1"/>
        <v>303325.90000000002</v>
      </c>
      <c r="O17" s="27">
        <f t="shared" si="2"/>
        <v>379157.375</v>
      </c>
      <c r="P17" s="27">
        <f t="shared" si="3"/>
        <v>75831.475000000006</v>
      </c>
      <c r="Q17" s="25"/>
      <c r="R17" s="25" t="s">
        <v>56</v>
      </c>
      <c r="S17" s="25"/>
      <c r="T17" s="25"/>
    </row>
    <row r="18" spans="1:20">
      <c r="A18" s="13">
        <v>10</v>
      </c>
      <c r="B18" s="13" t="s">
        <v>36</v>
      </c>
      <c r="C18" s="14">
        <f t="shared" si="0"/>
        <v>2</v>
      </c>
      <c r="D18" s="29" t="s">
        <v>38</v>
      </c>
      <c r="E18" s="25"/>
      <c r="F18" s="10">
        <v>3</v>
      </c>
      <c r="G18" s="45">
        <v>98000</v>
      </c>
      <c r="H18" s="26">
        <v>1</v>
      </c>
      <c r="I18" s="26"/>
      <c r="J18" s="26"/>
      <c r="K18" s="26">
        <f t="shared" si="4"/>
        <v>2</v>
      </c>
      <c r="L18" s="26">
        <f t="shared" si="5"/>
        <v>3</v>
      </c>
      <c r="M18" s="27">
        <v>78398.240000000005</v>
      </c>
      <c r="N18" s="27">
        <f t="shared" si="1"/>
        <v>235194.72000000003</v>
      </c>
      <c r="O18" s="27">
        <f t="shared" si="2"/>
        <v>293993.40000000002</v>
      </c>
      <c r="P18" s="27">
        <f t="shared" si="3"/>
        <v>97997.8</v>
      </c>
      <c r="Q18" s="25"/>
      <c r="R18" s="25" t="s">
        <v>56</v>
      </c>
      <c r="S18" s="25"/>
      <c r="T18" s="25"/>
    </row>
    <row r="19" spans="1:20">
      <c r="A19" s="13">
        <v>11</v>
      </c>
      <c r="B19" s="13" t="s">
        <v>35</v>
      </c>
      <c r="C19" s="14">
        <f t="shared" si="0"/>
        <v>0</v>
      </c>
      <c r="D19" s="29" t="s">
        <v>39</v>
      </c>
      <c r="E19" s="25"/>
      <c r="F19" s="10">
        <v>1</v>
      </c>
      <c r="G19" s="45">
        <v>65500</v>
      </c>
      <c r="H19" s="26">
        <v>1</v>
      </c>
      <c r="I19" s="26"/>
      <c r="J19" s="26"/>
      <c r="K19" s="26">
        <f t="shared" si="4"/>
        <v>0</v>
      </c>
      <c r="L19" s="26">
        <f t="shared" si="5"/>
        <v>1</v>
      </c>
      <c r="M19" s="27">
        <v>52183.1</v>
      </c>
      <c r="N19" s="27">
        <f t="shared" si="1"/>
        <v>52183.1</v>
      </c>
      <c r="O19" s="27">
        <f t="shared" si="2"/>
        <v>65228.875</v>
      </c>
      <c r="P19" s="27">
        <f t="shared" si="3"/>
        <v>65228.875</v>
      </c>
      <c r="Q19" s="25"/>
      <c r="R19" s="25" t="s">
        <v>56</v>
      </c>
      <c r="S19" s="25"/>
      <c r="T19" s="25"/>
    </row>
    <row r="20" spans="1:20">
      <c r="A20" s="13">
        <v>12</v>
      </c>
      <c r="B20" s="13" t="s">
        <v>40</v>
      </c>
      <c r="C20" s="14">
        <f t="shared" si="0"/>
        <v>10</v>
      </c>
      <c r="D20" s="29" t="s">
        <v>44</v>
      </c>
      <c r="E20" s="25"/>
      <c r="F20" s="10">
        <v>10</v>
      </c>
      <c r="G20" s="46">
        <v>6800</v>
      </c>
      <c r="H20" s="33"/>
      <c r="I20" s="26"/>
      <c r="J20" s="26"/>
      <c r="K20" s="26">
        <f t="shared" si="4"/>
        <v>10</v>
      </c>
      <c r="L20" s="26">
        <f t="shared" si="5"/>
        <v>10</v>
      </c>
      <c r="M20" s="32">
        <v>5425.88</v>
      </c>
      <c r="N20" s="32">
        <f>M20*F20</f>
        <v>54258.8</v>
      </c>
      <c r="O20" s="32">
        <f t="shared" si="2"/>
        <v>67823.5</v>
      </c>
      <c r="P20" s="32">
        <f t="shared" si="3"/>
        <v>6782.35</v>
      </c>
      <c r="Q20" s="25"/>
      <c r="R20" s="25" t="s">
        <v>57</v>
      </c>
      <c r="S20" s="25"/>
      <c r="T20" s="25"/>
    </row>
    <row r="21" spans="1:20">
      <c r="A21" s="13">
        <v>13</v>
      </c>
      <c r="B21" s="13" t="s">
        <v>41</v>
      </c>
      <c r="C21" s="14">
        <f t="shared" si="0"/>
        <v>9</v>
      </c>
      <c r="D21" s="29" t="s">
        <v>45</v>
      </c>
      <c r="E21" s="25"/>
      <c r="F21" s="10">
        <v>10</v>
      </c>
      <c r="G21" s="45">
        <v>6800</v>
      </c>
      <c r="H21" s="26"/>
      <c r="I21" s="26">
        <v>1</v>
      </c>
      <c r="J21" s="26"/>
      <c r="K21" s="26">
        <f t="shared" si="4"/>
        <v>9</v>
      </c>
      <c r="L21" s="26">
        <f t="shared" si="5"/>
        <v>9</v>
      </c>
      <c r="M21" s="27">
        <v>5425.88</v>
      </c>
      <c r="N21" s="27">
        <f t="shared" ref="N21:N36" si="6">M21*F21</f>
        <v>54258.8</v>
      </c>
      <c r="O21" s="27">
        <f t="shared" si="2"/>
        <v>67823.5</v>
      </c>
      <c r="P21" s="27">
        <f t="shared" si="3"/>
        <v>6782.35</v>
      </c>
      <c r="Q21" s="25"/>
      <c r="R21" s="25" t="s">
        <v>57</v>
      </c>
      <c r="S21" s="25"/>
      <c r="T21" s="25"/>
    </row>
    <row r="22" spans="1:20">
      <c r="A22" s="13">
        <v>14</v>
      </c>
      <c r="B22" s="13" t="s">
        <v>42</v>
      </c>
      <c r="C22" s="14">
        <v>5</v>
      </c>
      <c r="D22" s="29" t="s">
        <v>46</v>
      </c>
      <c r="E22" s="25"/>
      <c r="F22" s="10">
        <v>5</v>
      </c>
      <c r="G22" s="45">
        <v>4750</v>
      </c>
      <c r="H22" s="26">
        <v>0</v>
      </c>
      <c r="I22" s="26">
        <v>2</v>
      </c>
      <c r="J22" s="26"/>
      <c r="K22" s="26">
        <v>5</v>
      </c>
      <c r="L22" s="26">
        <f t="shared" si="5"/>
        <v>3</v>
      </c>
      <c r="M22" s="27">
        <v>3791.88</v>
      </c>
      <c r="N22" s="27">
        <f t="shared" si="6"/>
        <v>18959.400000000001</v>
      </c>
      <c r="O22" s="27">
        <f t="shared" si="2"/>
        <v>23699.25</v>
      </c>
      <c r="P22" s="27">
        <f t="shared" si="3"/>
        <v>4739.8500000000004</v>
      </c>
      <c r="Q22" s="25"/>
      <c r="R22" s="25" t="s">
        <v>57</v>
      </c>
      <c r="S22" s="25"/>
      <c r="T22" s="25"/>
    </row>
    <row r="23" spans="1:20">
      <c r="A23" s="13">
        <v>15</v>
      </c>
      <c r="B23" s="13" t="s">
        <v>43</v>
      </c>
      <c r="C23" s="14">
        <f t="shared" si="0"/>
        <v>1</v>
      </c>
      <c r="D23" s="29" t="s">
        <v>47</v>
      </c>
      <c r="E23" s="25"/>
      <c r="F23" s="10">
        <v>5</v>
      </c>
      <c r="G23" s="45">
        <v>3950</v>
      </c>
      <c r="H23" s="26"/>
      <c r="I23" s="26">
        <v>4</v>
      </c>
      <c r="J23" s="26"/>
      <c r="K23" s="26">
        <f t="shared" si="4"/>
        <v>1</v>
      </c>
      <c r="L23" s="26">
        <f t="shared" si="5"/>
        <v>1</v>
      </c>
      <c r="M23" s="27">
        <v>3131.74</v>
      </c>
      <c r="N23" s="27">
        <f t="shared" si="6"/>
        <v>15658.699999999999</v>
      </c>
      <c r="O23" s="27">
        <f t="shared" si="2"/>
        <v>19573.375</v>
      </c>
      <c r="P23" s="27">
        <f t="shared" si="3"/>
        <v>3914.6750000000002</v>
      </c>
      <c r="Q23" s="25"/>
      <c r="R23" s="25" t="s">
        <v>57</v>
      </c>
      <c r="S23" s="25"/>
      <c r="T23" s="25"/>
    </row>
    <row r="24" spans="1:20">
      <c r="A24" s="13">
        <v>16</v>
      </c>
      <c r="B24" s="13" t="s">
        <v>48</v>
      </c>
      <c r="C24" s="14">
        <f t="shared" si="0"/>
        <v>2</v>
      </c>
      <c r="D24" s="29" t="s">
        <v>51</v>
      </c>
      <c r="E24" s="25"/>
      <c r="F24" s="10">
        <v>3</v>
      </c>
      <c r="G24" s="45">
        <v>175000</v>
      </c>
      <c r="H24" s="26">
        <v>1</v>
      </c>
      <c r="I24" s="26"/>
      <c r="J24" s="26"/>
      <c r="K24" s="26">
        <f t="shared" si="4"/>
        <v>2</v>
      </c>
      <c r="L24" s="26">
        <f t="shared" si="5"/>
        <v>3</v>
      </c>
      <c r="M24" s="27">
        <v>139137.62</v>
      </c>
      <c r="N24" s="27">
        <f t="shared" si="6"/>
        <v>417412.86</v>
      </c>
      <c r="O24" s="27">
        <f t="shared" si="2"/>
        <v>521766.07499999995</v>
      </c>
      <c r="P24" s="27">
        <f t="shared" si="3"/>
        <v>173922.02499999999</v>
      </c>
      <c r="Q24" s="25"/>
      <c r="R24" s="25" t="s">
        <v>58</v>
      </c>
      <c r="S24" s="25"/>
      <c r="T24" s="25"/>
    </row>
    <row r="25" spans="1:20">
      <c r="A25" s="13">
        <v>17</v>
      </c>
      <c r="B25" s="13" t="s">
        <v>49</v>
      </c>
      <c r="C25" s="14">
        <f t="shared" si="0"/>
        <v>3</v>
      </c>
      <c r="D25" s="29" t="s">
        <v>52</v>
      </c>
      <c r="E25" s="25"/>
      <c r="F25" s="10">
        <v>3</v>
      </c>
      <c r="G25" s="45">
        <v>85699</v>
      </c>
      <c r="H25" s="26"/>
      <c r="I25" s="26"/>
      <c r="J25" s="26"/>
      <c r="K25" s="26">
        <f t="shared" si="4"/>
        <v>3</v>
      </c>
      <c r="L25" s="26">
        <f t="shared" si="5"/>
        <v>3</v>
      </c>
      <c r="M25" s="27">
        <v>68498</v>
      </c>
      <c r="N25" s="27">
        <f t="shared" si="6"/>
        <v>205494</v>
      </c>
      <c r="O25" s="27">
        <f t="shared" si="2"/>
        <v>256867.5</v>
      </c>
      <c r="P25" s="27">
        <f t="shared" si="3"/>
        <v>85622.5</v>
      </c>
      <c r="Q25" s="25"/>
      <c r="R25" s="25" t="s">
        <v>58</v>
      </c>
      <c r="S25" s="25"/>
      <c r="T25" s="25"/>
    </row>
    <row r="26" spans="1:20">
      <c r="A26" s="13">
        <v>18</v>
      </c>
      <c r="B26" s="13" t="s">
        <v>50</v>
      </c>
      <c r="C26" s="14">
        <f t="shared" si="0"/>
        <v>1</v>
      </c>
      <c r="D26" s="29" t="s">
        <v>53</v>
      </c>
      <c r="E26" s="25"/>
      <c r="F26" s="10">
        <v>1</v>
      </c>
      <c r="G26" s="45">
        <v>77099</v>
      </c>
      <c r="H26" s="26"/>
      <c r="I26" s="26"/>
      <c r="J26" s="26"/>
      <c r="K26" s="26">
        <f t="shared" si="4"/>
        <v>1</v>
      </c>
      <c r="L26" s="26">
        <f t="shared" si="5"/>
        <v>1</v>
      </c>
      <c r="M26" s="27">
        <v>61634.32</v>
      </c>
      <c r="N26" s="27">
        <f t="shared" si="6"/>
        <v>61634.32</v>
      </c>
      <c r="O26" s="27">
        <f t="shared" si="2"/>
        <v>77042.899999999994</v>
      </c>
      <c r="P26" s="27">
        <f t="shared" si="3"/>
        <v>77042.899999999994</v>
      </c>
      <c r="Q26" s="25"/>
      <c r="R26" s="25" t="s">
        <v>58</v>
      </c>
      <c r="S26" s="25"/>
      <c r="T26" s="25"/>
    </row>
    <row r="27" spans="1:20">
      <c r="A27" s="13">
        <v>19</v>
      </c>
      <c r="B27" s="9" t="s">
        <v>61</v>
      </c>
      <c r="C27" s="14">
        <f t="shared" si="0"/>
        <v>1</v>
      </c>
      <c r="D27" s="25"/>
      <c r="E27" s="25"/>
      <c r="F27" s="10">
        <v>1</v>
      </c>
      <c r="G27" s="45">
        <v>98000</v>
      </c>
      <c r="H27" s="26"/>
      <c r="I27" s="26"/>
      <c r="J27" s="26"/>
      <c r="K27" s="26">
        <f t="shared" si="4"/>
        <v>1</v>
      </c>
      <c r="L27" s="26">
        <f t="shared" si="5"/>
        <v>1</v>
      </c>
      <c r="M27" s="34">
        <v>78205.83</v>
      </c>
      <c r="N27" s="27">
        <f t="shared" si="6"/>
        <v>78205.83</v>
      </c>
      <c r="O27" s="27">
        <f t="shared" si="2"/>
        <v>97757.287500000006</v>
      </c>
      <c r="P27" s="27">
        <f t="shared" si="3"/>
        <v>97757.287500000006</v>
      </c>
      <c r="Q27" s="25"/>
      <c r="R27" s="25" t="s">
        <v>74</v>
      </c>
      <c r="S27" s="25"/>
      <c r="T27" s="25"/>
    </row>
    <row r="28" spans="1:20">
      <c r="A28" s="13">
        <v>20</v>
      </c>
      <c r="B28" s="9" t="s">
        <v>62</v>
      </c>
      <c r="C28" s="14">
        <f t="shared" si="0"/>
        <v>1</v>
      </c>
      <c r="D28" s="13"/>
      <c r="E28" s="13"/>
      <c r="F28" s="10">
        <v>1</v>
      </c>
      <c r="G28" s="47">
        <v>22600</v>
      </c>
      <c r="H28" s="14"/>
      <c r="I28" s="14"/>
      <c r="J28" s="14"/>
      <c r="K28" s="26">
        <f t="shared" si="4"/>
        <v>1</v>
      </c>
      <c r="L28" s="26">
        <f t="shared" si="5"/>
        <v>1</v>
      </c>
      <c r="M28" s="21">
        <v>18004.990000000002</v>
      </c>
      <c r="N28" s="27">
        <f t="shared" si="6"/>
        <v>18004.990000000002</v>
      </c>
      <c r="O28" s="19">
        <f t="shared" si="2"/>
        <v>22506.237500000003</v>
      </c>
      <c r="P28" s="19">
        <f t="shared" si="3"/>
        <v>22506.237500000003</v>
      </c>
      <c r="Q28" s="13"/>
      <c r="R28" s="25" t="s">
        <v>74</v>
      </c>
      <c r="S28" s="13"/>
      <c r="T28" s="13"/>
    </row>
    <row r="29" spans="1:20">
      <c r="A29" s="13">
        <v>21</v>
      </c>
      <c r="B29" s="9" t="s">
        <v>63</v>
      </c>
      <c r="C29" s="14">
        <f t="shared" si="0"/>
        <v>2</v>
      </c>
      <c r="D29" s="13"/>
      <c r="E29" s="13"/>
      <c r="F29" s="10">
        <v>2</v>
      </c>
      <c r="G29" s="47">
        <v>17600</v>
      </c>
      <c r="H29" s="14"/>
      <c r="I29" s="14"/>
      <c r="J29" s="14"/>
      <c r="K29" s="26">
        <f t="shared" si="4"/>
        <v>2</v>
      </c>
      <c r="L29" s="26">
        <f t="shared" si="5"/>
        <v>2</v>
      </c>
      <c r="M29" s="21">
        <v>14003</v>
      </c>
      <c r="N29" s="27">
        <f t="shared" si="6"/>
        <v>28006</v>
      </c>
      <c r="O29" s="19">
        <f t="shared" si="2"/>
        <v>35007.5</v>
      </c>
      <c r="P29" s="19">
        <f t="shared" si="3"/>
        <v>17503.75</v>
      </c>
      <c r="Q29" s="13"/>
      <c r="R29" s="25" t="s">
        <v>74</v>
      </c>
      <c r="S29" s="13"/>
      <c r="T29" s="13"/>
    </row>
    <row r="30" spans="1:20">
      <c r="A30" s="13">
        <v>22</v>
      </c>
      <c r="B30" s="9" t="s">
        <v>64</v>
      </c>
      <c r="C30" s="14">
        <f t="shared" si="0"/>
        <v>2</v>
      </c>
      <c r="D30" s="13"/>
      <c r="E30" s="13"/>
      <c r="F30" s="10">
        <v>2</v>
      </c>
      <c r="G30" s="47">
        <v>7500</v>
      </c>
      <c r="H30" s="14"/>
      <c r="I30" s="14"/>
      <c r="J30" s="14"/>
      <c r="K30" s="26">
        <f t="shared" si="4"/>
        <v>2</v>
      </c>
      <c r="L30" s="26">
        <f t="shared" si="5"/>
        <v>2</v>
      </c>
      <c r="M30" s="21">
        <v>5722</v>
      </c>
      <c r="N30" s="27">
        <f t="shared" si="6"/>
        <v>11444</v>
      </c>
      <c r="O30" s="19">
        <f t="shared" si="2"/>
        <v>14305</v>
      </c>
      <c r="P30" s="19">
        <f t="shared" si="3"/>
        <v>7152.5</v>
      </c>
      <c r="Q30" s="13"/>
      <c r="R30" s="25" t="s">
        <v>74</v>
      </c>
      <c r="S30" s="13"/>
      <c r="T30" s="13"/>
    </row>
    <row r="31" spans="1:20">
      <c r="A31" s="13">
        <v>23</v>
      </c>
      <c r="B31" s="9" t="s">
        <v>65</v>
      </c>
      <c r="C31" s="14">
        <f t="shared" si="0"/>
        <v>2</v>
      </c>
      <c r="D31" s="13"/>
      <c r="E31" s="13"/>
      <c r="F31" s="10">
        <v>2</v>
      </c>
      <c r="G31" s="47">
        <v>136000</v>
      </c>
      <c r="H31" s="14"/>
      <c r="I31" s="14"/>
      <c r="J31" s="14"/>
      <c r="K31" s="26">
        <f t="shared" si="4"/>
        <v>2</v>
      </c>
      <c r="L31" s="26">
        <f t="shared" si="5"/>
        <v>2</v>
      </c>
      <c r="M31" s="21">
        <v>108721.4</v>
      </c>
      <c r="N31" s="27">
        <f t="shared" si="6"/>
        <v>217442.8</v>
      </c>
      <c r="O31" s="19">
        <f t="shared" si="2"/>
        <v>271803.5</v>
      </c>
      <c r="P31" s="19">
        <f t="shared" si="3"/>
        <v>135901.75</v>
      </c>
      <c r="Q31" s="13"/>
      <c r="R31" s="25" t="s">
        <v>74</v>
      </c>
      <c r="S31" s="13"/>
      <c r="T31" s="13"/>
    </row>
    <row r="32" spans="1:20">
      <c r="A32" s="13">
        <v>24</v>
      </c>
      <c r="B32" s="9" t="s">
        <v>66</v>
      </c>
      <c r="C32" s="14">
        <f t="shared" si="0"/>
        <v>2</v>
      </c>
      <c r="D32" s="13"/>
      <c r="E32" s="13"/>
      <c r="F32" s="10">
        <v>2</v>
      </c>
      <c r="G32" s="47">
        <v>15100</v>
      </c>
      <c r="H32" s="14"/>
      <c r="I32" s="14"/>
      <c r="J32" s="14"/>
      <c r="K32" s="26">
        <f t="shared" si="4"/>
        <v>2</v>
      </c>
      <c r="L32" s="26">
        <f t="shared" si="5"/>
        <v>2</v>
      </c>
      <c r="M32" s="21">
        <v>12053.33</v>
      </c>
      <c r="N32" s="27">
        <f t="shared" si="6"/>
        <v>24106.66</v>
      </c>
      <c r="O32" s="19">
        <f t="shared" si="2"/>
        <v>30133.325000000001</v>
      </c>
      <c r="P32" s="19">
        <f t="shared" si="3"/>
        <v>15066.6625</v>
      </c>
      <c r="Q32" s="13"/>
      <c r="R32" s="25" t="s">
        <v>74</v>
      </c>
      <c r="S32" s="13"/>
      <c r="T32" s="13"/>
    </row>
    <row r="33" spans="1:20">
      <c r="A33" s="13">
        <v>25</v>
      </c>
      <c r="B33" s="9" t="s">
        <v>67</v>
      </c>
      <c r="C33" s="14">
        <f t="shared" si="0"/>
        <v>3</v>
      </c>
      <c r="D33" s="13"/>
      <c r="E33" s="13"/>
      <c r="F33" s="10">
        <v>3</v>
      </c>
      <c r="G33" s="47">
        <v>25600</v>
      </c>
      <c r="H33" s="14"/>
      <c r="I33" s="14"/>
      <c r="J33" s="14"/>
      <c r="K33" s="26">
        <f t="shared" si="4"/>
        <v>3</v>
      </c>
      <c r="L33" s="26">
        <f t="shared" si="5"/>
        <v>3</v>
      </c>
      <c r="M33" s="21">
        <v>30685.1</v>
      </c>
      <c r="N33" s="27">
        <f t="shared" si="6"/>
        <v>92055.299999999988</v>
      </c>
      <c r="O33" s="19">
        <f t="shared" si="2"/>
        <v>115069.12499999999</v>
      </c>
      <c r="P33" s="19">
        <f t="shared" si="3"/>
        <v>38356.374999999993</v>
      </c>
      <c r="Q33" s="13"/>
      <c r="R33" s="25" t="s">
        <v>74</v>
      </c>
      <c r="S33" s="13"/>
      <c r="T33" s="13"/>
    </row>
    <row r="34" spans="1:20">
      <c r="A34" s="13">
        <v>26</v>
      </c>
      <c r="B34" s="9" t="s">
        <v>68</v>
      </c>
      <c r="C34" s="14">
        <f t="shared" si="0"/>
        <v>200</v>
      </c>
      <c r="D34" s="13"/>
      <c r="E34" s="13"/>
      <c r="F34" s="10">
        <v>200</v>
      </c>
      <c r="G34" s="47">
        <v>3500</v>
      </c>
      <c r="H34" s="14"/>
      <c r="I34" s="14"/>
      <c r="J34" s="14"/>
      <c r="K34" s="26">
        <f t="shared" si="4"/>
        <v>200</v>
      </c>
      <c r="L34" s="26">
        <f t="shared" si="5"/>
        <v>200</v>
      </c>
      <c r="M34" s="21">
        <v>2639.88</v>
      </c>
      <c r="N34" s="27">
        <f t="shared" si="6"/>
        <v>527976</v>
      </c>
      <c r="O34" s="19">
        <f t="shared" si="2"/>
        <v>659970</v>
      </c>
      <c r="P34" s="19">
        <f t="shared" si="3"/>
        <v>3299.85</v>
      </c>
      <c r="Q34" s="13"/>
      <c r="R34" s="25" t="s">
        <v>74</v>
      </c>
      <c r="S34" s="13"/>
      <c r="T34" s="13"/>
    </row>
    <row r="35" spans="1:20">
      <c r="A35" s="13">
        <v>27</v>
      </c>
      <c r="B35" s="13" t="s">
        <v>48</v>
      </c>
      <c r="C35" s="14">
        <f t="shared" si="0"/>
        <v>3</v>
      </c>
      <c r="D35" s="35" t="s">
        <v>51</v>
      </c>
      <c r="E35" s="13"/>
      <c r="F35" s="10">
        <v>3</v>
      </c>
      <c r="G35" s="47">
        <v>199999</v>
      </c>
      <c r="H35" s="14"/>
      <c r="I35" s="14"/>
      <c r="J35" s="14"/>
      <c r="K35" s="26">
        <f t="shared" si="4"/>
        <v>3</v>
      </c>
      <c r="L35" s="26">
        <f t="shared" si="5"/>
        <v>3</v>
      </c>
      <c r="M35" s="19">
        <v>141884.88</v>
      </c>
      <c r="N35" s="27">
        <f t="shared" si="6"/>
        <v>425654.64</v>
      </c>
      <c r="O35" s="19">
        <f t="shared" si="2"/>
        <v>532068.30000000005</v>
      </c>
      <c r="P35" s="19">
        <f t="shared" si="3"/>
        <v>177356.1</v>
      </c>
      <c r="Q35" s="13"/>
      <c r="R35" s="13"/>
      <c r="S35" s="13"/>
      <c r="T35" s="13"/>
    </row>
    <row r="36" spans="1:20">
      <c r="A36" s="13"/>
      <c r="B36" s="13" t="s">
        <v>48</v>
      </c>
      <c r="C36" s="14">
        <f t="shared" si="0"/>
        <v>2</v>
      </c>
      <c r="D36" s="35" t="s">
        <v>71</v>
      </c>
      <c r="E36" s="13"/>
      <c r="F36" s="10">
        <v>2</v>
      </c>
      <c r="G36" s="47">
        <v>210000</v>
      </c>
      <c r="H36" s="14"/>
      <c r="I36" s="14"/>
      <c r="J36" s="14"/>
      <c r="K36" s="26">
        <f t="shared" si="4"/>
        <v>2</v>
      </c>
      <c r="L36" s="26">
        <f t="shared" si="5"/>
        <v>2</v>
      </c>
      <c r="M36" s="19">
        <v>149475.53</v>
      </c>
      <c r="N36" s="19">
        <f t="shared" si="6"/>
        <v>298951.06</v>
      </c>
      <c r="O36" s="19">
        <f t="shared" si="2"/>
        <v>373688.82500000001</v>
      </c>
      <c r="P36" s="19">
        <f t="shared" si="3"/>
        <v>186844.41250000001</v>
      </c>
      <c r="Q36" s="13"/>
      <c r="R36" s="13"/>
      <c r="S36" s="13"/>
      <c r="T36" s="13"/>
    </row>
    <row r="37" spans="1:20">
      <c r="A37" s="13"/>
      <c r="B37" s="13"/>
      <c r="C37" s="10"/>
      <c r="D37" s="13"/>
      <c r="E37" s="13"/>
      <c r="F37" s="14"/>
      <c r="G37" s="47"/>
      <c r="H37" s="14"/>
      <c r="I37" s="14"/>
      <c r="J37" s="14"/>
      <c r="K37" s="14"/>
      <c r="L37" s="14"/>
      <c r="M37" s="19"/>
      <c r="N37" s="19"/>
      <c r="O37" s="19"/>
      <c r="P37" s="19"/>
      <c r="Q37" s="13"/>
      <c r="R37" s="13"/>
      <c r="S37" s="13"/>
      <c r="T37" s="13"/>
    </row>
    <row r="38" spans="1:20">
      <c r="A38" s="13"/>
      <c r="B38" s="13"/>
      <c r="C38" s="14"/>
      <c r="D38" s="13"/>
      <c r="E38" s="13"/>
      <c r="F38" s="14"/>
      <c r="G38" s="47"/>
      <c r="H38" s="14"/>
      <c r="I38" s="14"/>
      <c r="J38" s="14"/>
      <c r="K38" s="14"/>
      <c r="L38" s="14"/>
      <c r="M38" s="19"/>
      <c r="N38" s="19"/>
      <c r="O38" s="19"/>
      <c r="P38" s="19"/>
      <c r="Q38" s="13"/>
      <c r="R38" s="13"/>
      <c r="S38" s="13"/>
      <c r="T38" s="13"/>
    </row>
    <row r="39" spans="1:20">
      <c r="A39" s="13"/>
      <c r="B39" s="13"/>
      <c r="C39" s="14"/>
      <c r="D39" s="13"/>
      <c r="E39" s="13"/>
      <c r="F39" s="14"/>
      <c r="G39" s="47"/>
      <c r="H39" s="14"/>
      <c r="I39" s="14"/>
      <c r="J39" s="14"/>
      <c r="K39" s="14"/>
      <c r="L39" s="14"/>
      <c r="M39" s="19"/>
      <c r="N39" s="19"/>
      <c r="O39" s="19"/>
      <c r="P39" s="19"/>
      <c r="Q39" s="13"/>
      <c r="R39" s="13"/>
      <c r="S39" s="13"/>
      <c r="T39" s="13"/>
    </row>
    <row r="40" spans="1:20">
      <c r="A40" s="13"/>
      <c r="B40" s="13"/>
      <c r="C40" s="14"/>
      <c r="D40" s="13"/>
      <c r="E40" s="13"/>
      <c r="F40" s="14"/>
      <c r="G40" s="47"/>
      <c r="H40" s="14"/>
      <c r="I40" s="14"/>
      <c r="J40" s="14"/>
      <c r="K40" s="14"/>
      <c r="L40" s="14"/>
      <c r="M40" s="19"/>
      <c r="N40" s="19"/>
      <c r="O40" s="19"/>
      <c r="P40" s="19"/>
      <c r="Q40" s="13"/>
      <c r="R40" s="13"/>
      <c r="S40" s="13"/>
      <c r="T40" s="13"/>
    </row>
    <row r="41" spans="1:20">
      <c r="A41" s="13"/>
      <c r="B41" s="13"/>
      <c r="C41" s="14"/>
      <c r="D41" s="13"/>
      <c r="E41" s="13"/>
      <c r="F41" s="14"/>
      <c r="G41" s="47"/>
      <c r="H41" s="14"/>
      <c r="I41" s="14"/>
      <c r="J41" s="14"/>
      <c r="K41" s="14"/>
      <c r="L41" s="14"/>
      <c r="M41" s="19"/>
      <c r="N41" s="19"/>
      <c r="O41" s="19"/>
      <c r="P41" s="19"/>
      <c r="Q41" s="13"/>
      <c r="R41" s="13"/>
      <c r="S41" s="13"/>
      <c r="T41" s="13"/>
    </row>
    <row r="42" spans="1:20">
      <c r="A42" s="13"/>
      <c r="B42" s="13"/>
      <c r="C42" s="14"/>
      <c r="D42" s="13"/>
      <c r="E42" s="13"/>
      <c r="F42" s="14"/>
      <c r="G42" s="47"/>
      <c r="H42" s="14"/>
      <c r="I42" s="14"/>
      <c r="J42" s="14"/>
      <c r="K42" s="14"/>
      <c r="L42" s="14"/>
      <c r="M42" s="19"/>
      <c r="N42" s="19"/>
      <c r="O42" s="19"/>
      <c r="P42" s="19"/>
      <c r="Q42" s="13"/>
      <c r="R42" s="13"/>
      <c r="S42" s="13"/>
      <c r="T42" s="13"/>
    </row>
    <row r="43" spans="1:20">
      <c r="A43" s="13"/>
      <c r="B43" s="13"/>
      <c r="C43" s="14"/>
      <c r="D43" s="13"/>
      <c r="E43" s="13"/>
      <c r="F43" s="14"/>
      <c r="G43" s="47"/>
      <c r="H43" s="14"/>
      <c r="I43" s="14"/>
      <c r="J43" s="14"/>
      <c r="K43" s="14"/>
      <c r="L43" s="14"/>
      <c r="M43" s="19"/>
      <c r="N43" s="19"/>
      <c r="O43" s="19"/>
      <c r="P43" s="19"/>
      <c r="Q43" s="13"/>
      <c r="R43" s="13"/>
      <c r="S43" s="13"/>
      <c r="T43" s="13"/>
    </row>
    <row r="44" spans="1:20">
      <c r="A44" s="13"/>
      <c r="B44" s="13"/>
      <c r="C44" s="14"/>
      <c r="D44" s="13"/>
      <c r="E44" s="13"/>
      <c r="F44" s="14"/>
      <c r="G44" s="47"/>
      <c r="H44" s="14"/>
      <c r="I44" s="14"/>
      <c r="J44" s="14"/>
      <c r="K44" s="14"/>
      <c r="L44" s="14"/>
      <c r="M44" s="19"/>
      <c r="N44" s="19"/>
      <c r="O44" s="19"/>
      <c r="P44" s="19"/>
      <c r="Q44" s="13"/>
      <c r="R44" s="13"/>
      <c r="S44" s="13"/>
      <c r="T44" s="13"/>
    </row>
    <row r="45" spans="1:20">
      <c r="A45" s="13"/>
      <c r="B45" s="13"/>
      <c r="C45" s="14"/>
      <c r="D45" s="13"/>
      <c r="E45" s="13"/>
      <c r="F45" s="14"/>
      <c r="G45" s="47"/>
      <c r="H45" s="14"/>
      <c r="I45" s="14"/>
      <c r="J45" s="14"/>
      <c r="K45" s="14"/>
      <c r="L45" s="14"/>
      <c r="M45" s="19"/>
      <c r="N45" s="19"/>
      <c r="O45" s="19"/>
      <c r="P45" s="19"/>
      <c r="Q45" s="13"/>
      <c r="R45" s="13"/>
      <c r="S45" s="13"/>
      <c r="T45" s="13"/>
    </row>
    <row r="46" spans="1:20">
      <c r="A46" s="13"/>
      <c r="B46" s="13"/>
      <c r="C46" s="14"/>
      <c r="D46" s="13"/>
      <c r="E46" s="13"/>
      <c r="F46" s="14"/>
      <c r="G46" s="47"/>
      <c r="H46" s="14"/>
      <c r="I46" s="14"/>
      <c r="J46" s="14"/>
      <c r="K46" s="14"/>
      <c r="L46" s="14"/>
      <c r="M46" s="19"/>
      <c r="N46" s="19"/>
      <c r="O46" s="19"/>
      <c r="P46" s="19"/>
      <c r="Q46" s="13"/>
      <c r="R46" s="13"/>
      <c r="S46" s="13"/>
      <c r="T46" s="13"/>
    </row>
    <row r="47" spans="1:20">
      <c r="A47" s="13"/>
      <c r="B47" s="13"/>
      <c r="C47" s="14"/>
      <c r="D47" s="13"/>
      <c r="E47" s="13"/>
      <c r="F47" s="14"/>
      <c r="G47" s="47"/>
      <c r="H47" s="14"/>
      <c r="I47" s="14"/>
      <c r="J47" s="14"/>
      <c r="K47" s="14"/>
      <c r="L47" s="14"/>
      <c r="M47" s="19"/>
      <c r="N47" s="19"/>
      <c r="O47" s="19"/>
      <c r="P47" s="19"/>
      <c r="Q47" s="13"/>
      <c r="R47" s="13"/>
      <c r="S47" s="13"/>
      <c r="T47" s="13"/>
    </row>
    <row r="48" spans="1:20">
      <c r="A48" s="13"/>
      <c r="B48" s="13"/>
      <c r="C48" s="14"/>
      <c r="D48" s="13"/>
      <c r="E48" s="13"/>
      <c r="F48" s="14"/>
      <c r="G48" s="47"/>
      <c r="H48" s="14"/>
      <c r="I48" s="14"/>
      <c r="J48" s="14"/>
      <c r="K48" s="14"/>
      <c r="L48" s="14"/>
      <c r="M48" s="19"/>
      <c r="N48" s="19"/>
      <c r="O48" s="19"/>
      <c r="P48" s="19"/>
      <c r="Q48" s="13"/>
      <c r="R48" s="13"/>
      <c r="S48" s="13"/>
      <c r="T48" s="13"/>
    </row>
    <row r="49" spans="1:20">
      <c r="A49" s="13"/>
      <c r="B49" s="13"/>
      <c r="C49" s="14"/>
      <c r="D49" s="13"/>
      <c r="E49" s="13"/>
      <c r="F49" s="14"/>
      <c r="G49" s="47"/>
      <c r="H49" s="14"/>
      <c r="I49" s="14"/>
      <c r="J49" s="14"/>
      <c r="K49" s="14"/>
      <c r="L49" s="14"/>
      <c r="M49" s="19"/>
      <c r="N49" s="19"/>
      <c r="O49" s="19"/>
      <c r="P49" s="19"/>
      <c r="Q49" s="13"/>
      <c r="R49" s="13"/>
      <c r="S49" s="13"/>
      <c r="T49" s="13"/>
    </row>
    <row r="50" spans="1:20">
      <c r="A50" s="13"/>
      <c r="B50" s="13"/>
      <c r="C50" s="14"/>
      <c r="D50" s="13"/>
      <c r="E50" s="13"/>
      <c r="F50" s="14"/>
      <c r="G50" s="47"/>
      <c r="H50" s="14"/>
      <c r="I50" s="14"/>
      <c r="J50" s="14"/>
      <c r="K50" s="14"/>
      <c r="L50" s="14"/>
      <c r="M50" s="19"/>
      <c r="N50" s="19"/>
      <c r="O50" s="19"/>
      <c r="P50" s="19"/>
      <c r="Q50" s="13"/>
      <c r="R50" s="13"/>
      <c r="S50" s="13"/>
      <c r="T50" s="13"/>
    </row>
    <row r="51" spans="1:20">
      <c r="A51" s="13"/>
      <c r="B51" s="13"/>
      <c r="C51" s="14"/>
      <c r="D51" s="13"/>
      <c r="E51" s="13"/>
      <c r="F51" s="14"/>
      <c r="G51" s="47"/>
      <c r="H51" s="14"/>
      <c r="I51" s="14"/>
      <c r="J51" s="14"/>
      <c r="K51" s="14"/>
      <c r="L51" s="14"/>
      <c r="M51" s="19"/>
      <c r="N51" s="19"/>
      <c r="O51" s="19"/>
      <c r="P51" s="19"/>
      <c r="Q51" s="13"/>
      <c r="R51" s="13"/>
      <c r="S51" s="13"/>
      <c r="T51" s="13"/>
    </row>
    <row r="52" spans="1:20">
      <c r="A52" s="13"/>
      <c r="B52" s="13"/>
      <c r="C52" s="14"/>
      <c r="D52" s="13"/>
      <c r="E52" s="13"/>
      <c r="F52" s="14"/>
      <c r="G52" s="47"/>
      <c r="H52" s="14"/>
      <c r="I52" s="14"/>
      <c r="J52" s="14"/>
      <c r="K52" s="14"/>
      <c r="L52" s="14"/>
      <c r="M52" s="19"/>
      <c r="N52" s="19"/>
      <c r="O52" s="19"/>
      <c r="P52" s="19"/>
      <c r="Q52" s="13"/>
      <c r="R52" s="13"/>
      <c r="S52" s="13"/>
      <c r="T52" s="13"/>
    </row>
    <row r="53" spans="1:20">
      <c r="A53" s="13"/>
      <c r="B53" s="13"/>
      <c r="C53" s="14"/>
      <c r="D53" s="13"/>
      <c r="E53" s="13"/>
      <c r="F53" s="14"/>
      <c r="G53" s="47"/>
      <c r="H53" s="14"/>
      <c r="I53" s="14"/>
      <c r="J53" s="14"/>
      <c r="K53" s="14"/>
      <c r="L53" s="14"/>
      <c r="M53" s="19"/>
      <c r="N53" s="19"/>
      <c r="O53" s="19"/>
      <c r="P53" s="19"/>
      <c r="Q53" s="13"/>
      <c r="R53" s="13"/>
      <c r="S53" s="13"/>
      <c r="T53" s="13"/>
    </row>
    <row r="54" spans="1:20">
      <c r="A54" s="13"/>
      <c r="B54" s="13"/>
      <c r="C54" s="14"/>
      <c r="D54" s="13"/>
      <c r="E54" s="13"/>
      <c r="F54" s="14"/>
      <c r="G54" s="47"/>
      <c r="H54" s="14"/>
      <c r="I54" s="14"/>
      <c r="J54" s="14"/>
      <c r="K54" s="14"/>
      <c r="L54" s="14"/>
      <c r="M54" s="19"/>
      <c r="N54" s="19"/>
      <c r="O54" s="19"/>
      <c r="P54" s="19"/>
      <c r="Q54" s="13"/>
      <c r="R54" s="13"/>
      <c r="S54" s="13"/>
      <c r="T54" s="13"/>
    </row>
    <row r="55" spans="1:20">
      <c r="A55" s="13"/>
      <c r="B55" s="13"/>
      <c r="C55" s="14"/>
      <c r="D55" s="13"/>
      <c r="E55" s="13"/>
      <c r="F55" s="14"/>
      <c r="G55" s="47"/>
      <c r="H55" s="14"/>
      <c r="I55" s="14"/>
      <c r="J55" s="14"/>
      <c r="K55" s="14"/>
      <c r="L55" s="14"/>
      <c r="M55" s="19"/>
      <c r="N55" s="19"/>
      <c r="O55" s="19"/>
      <c r="P55" s="19"/>
      <c r="Q55" s="13"/>
      <c r="R55" s="13"/>
      <c r="S55" s="13"/>
      <c r="T55" s="13"/>
    </row>
    <row r="56" spans="1:20">
      <c r="A56" s="13"/>
      <c r="B56" s="13"/>
      <c r="C56" s="14"/>
      <c r="D56" s="13"/>
      <c r="E56" s="13"/>
      <c r="F56" s="14"/>
      <c r="G56" s="47"/>
      <c r="H56" s="14"/>
      <c r="I56" s="14"/>
      <c r="J56" s="14"/>
      <c r="K56" s="14"/>
      <c r="L56" s="14"/>
      <c r="M56" s="19"/>
      <c r="N56" s="19"/>
      <c r="O56" s="19"/>
      <c r="P56" s="19"/>
      <c r="Q56" s="13"/>
      <c r="R56" s="13"/>
      <c r="S56" s="13"/>
      <c r="T56" s="13"/>
    </row>
    <row r="57" spans="1:20">
      <c r="A57" s="13"/>
      <c r="B57" s="13"/>
      <c r="C57" s="14"/>
      <c r="D57" s="13"/>
      <c r="E57" s="13"/>
      <c r="F57" s="14"/>
      <c r="G57" s="47"/>
      <c r="H57" s="14"/>
      <c r="I57" s="14"/>
      <c r="J57" s="14"/>
      <c r="K57" s="14"/>
      <c r="L57" s="14"/>
      <c r="M57" s="19"/>
      <c r="N57" s="19"/>
      <c r="O57" s="19"/>
      <c r="P57" s="19"/>
      <c r="Q57" s="13"/>
      <c r="R57" s="13"/>
      <c r="S57" s="13"/>
      <c r="T57" s="13"/>
    </row>
    <row r="58" spans="1:20">
      <c r="A58" s="13"/>
      <c r="B58" s="13"/>
      <c r="C58" s="14"/>
      <c r="D58" s="13"/>
      <c r="E58" s="13"/>
      <c r="F58" s="14"/>
      <c r="G58" s="47"/>
      <c r="H58" s="14"/>
      <c r="I58" s="14"/>
      <c r="J58" s="14"/>
      <c r="K58" s="14"/>
      <c r="L58" s="14"/>
      <c r="M58" s="19"/>
      <c r="N58" s="19"/>
      <c r="O58" s="19"/>
      <c r="P58" s="19"/>
      <c r="Q58" s="13"/>
      <c r="R58" s="13"/>
      <c r="S58" s="13"/>
      <c r="T58" s="13"/>
    </row>
    <row r="59" spans="1:20">
      <c r="A59" s="13"/>
      <c r="B59" s="13"/>
      <c r="C59" s="14"/>
      <c r="D59" s="13"/>
      <c r="E59" s="13"/>
      <c r="F59" s="14"/>
      <c r="G59" s="47"/>
      <c r="H59" s="14"/>
      <c r="I59" s="14"/>
      <c r="J59" s="14"/>
      <c r="K59" s="14"/>
      <c r="L59" s="14"/>
      <c r="M59" s="19"/>
      <c r="N59" s="19"/>
      <c r="O59" s="19"/>
      <c r="P59" s="19"/>
      <c r="Q59" s="13"/>
      <c r="R59" s="13"/>
      <c r="S59" s="13"/>
      <c r="T59" s="13"/>
    </row>
    <row r="60" spans="1:20">
      <c r="A60" s="13"/>
      <c r="B60" s="13"/>
      <c r="C60" s="14"/>
      <c r="D60" s="13"/>
      <c r="E60" s="13"/>
      <c r="F60" s="14"/>
      <c r="G60" s="47"/>
      <c r="H60" s="14"/>
      <c r="I60" s="14"/>
      <c r="J60" s="14"/>
      <c r="K60" s="14"/>
      <c r="L60" s="14"/>
      <c r="M60" s="19"/>
      <c r="N60" s="19"/>
      <c r="O60" s="19"/>
      <c r="P60" s="19"/>
      <c r="Q60" s="13"/>
      <c r="R60" s="13"/>
      <c r="S60" s="13"/>
      <c r="T60" s="13"/>
    </row>
    <row r="61" spans="1:20">
      <c r="A61" s="13"/>
      <c r="B61" s="13"/>
      <c r="C61" s="14"/>
      <c r="D61" s="13"/>
      <c r="E61" s="13"/>
      <c r="F61" s="14"/>
      <c r="G61" s="47"/>
      <c r="H61" s="14"/>
      <c r="I61" s="14"/>
      <c r="J61" s="14"/>
      <c r="K61" s="14"/>
      <c r="L61" s="14"/>
      <c r="M61" s="19"/>
      <c r="N61" s="19"/>
      <c r="O61" s="19"/>
      <c r="P61" s="19"/>
      <c r="Q61" s="13"/>
      <c r="R61" s="13"/>
      <c r="S61" s="13"/>
      <c r="T61" s="13"/>
    </row>
    <row r="62" spans="1:20">
      <c r="A62" s="13"/>
      <c r="B62" s="13"/>
      <c r="C62" s="14"/>
      <c r="D62" s="13"/>
      <c r="E62" s="13"/>
      <c r="F62" s="14"/>
      <c r="G62" s="47"/>
      <c r="H62" s="14"/>
      <c r="I62" s="14"/>
      <c r="J62" s="14"/>
      <c r="K62" s="14"/>
      <c r="L62" s="14"/>
      <c r="M62" s="19"/>
      <c r="N62" s="19"/>
      <c r="O62" s="19"/>
      <c r="P62" s="19"/>
      <c r="Q62" s="13"/>
      <c r="R62" s="13"/>
      <c r="S62" s="13"/>
      <c r="T62" s="13"/>
    </row>
    <row r="63" spans="1:20">
      <c r="A63" s="13"/>
      <c r="B63" s="13"/>
      <c r="C63" s="14"/>
      <c r="D63" s="13"/>
      <c r="E63" s="13"/>
      <c r="F63" s="14"/>
      <c r="G63" s="47"/>
      <c r="H63" s="14"/>
      <c r="I63" s="14"/>
      <c r="J63" s="14"/>
      <c r="K63" s="14"/>
      <c r="L63" s="14"/>
      <c r="M63" s="19"/>
      <c r="N63" s="19"/>
      <c r="O63" s="19"/>
      <c r="P63" s="19"/>
      <c r="Q63" s="13"/>
      <c r="R63" s="13"/>
      <c r="S63" s="13"/>
      <c r="T63" s="13"/>
    </row>
    <row r="64" spans="1:20">
      <c r="A64" s="13"/>
      <c r="B64" s="13"/>
      <c r="C64" s="14"/>
      <c r="D64" s="13"/>
      <c r="E64" s="13"/>
      <c r="F64" s="14"/>
      <c r="G64" s="47"/>
      <c r="H64" s="14"/>
      <c r="I64" s="14"/>
      <c r="J64" s="14"/>
      <c r="K64" s="14"/>
      <c r="L64" s="14"/>
      <c r="M64" s="19"/>
      <c r="N64" s="19"/>
      <c r="O64" s="19"/>
      <c r="P64" s="19"/>
      <c r="Q64" s="13"/>
      <c r="R64" s="13"/>
      <c r="S64" s="13"/>
      <c r="T64" s="13"/>
    </row>
    <row r="65" spans="1:20">
      <c r="A65" s="13"/>
      <c r="B65" s="13"/>
      <c r="C65" s="14"/>
      <c r="D65" s="13"/>
      <c r="E65" s="13"/>
      <c r="F65" s="14"/>
      <c r="G65" s="47"/>
      <c r="H65" s="14"/>
      <c r="I65" s="14"/>
      <c r="J65" s="14"/>
      <c r="K65" s="14"/>
      <c r="L65" s="14"/>
      <c r="M65" s="19"/>
      <c r="N65" s="19"/>
      <c r="O65" s="19"/>
      <c r="P65" s="19"/>
      <c r="Q65" s="13"/>
      <c r="R65" s="13"/>
      <c r="S65" s="13"/>
      <c r="T65" s="13"/>
    </row>
    <row r="66" spans="1:20">
      <c r="A66" s="13"/>
      <c r="B66" s="13"/>
      <c r="C66" s="14"/>
      <c r="D66" s="13"/>
      <c r="E66" s="13"/>
      <c r="F66" s="14"/>
      <c r="G66" s="47"/>
      <c r="H66" s="14"/>
      <c r="I66" s="14"/>
      <c r="J66" s="14"/>
      <c r="K66" s="14"/>
      <c r="L66" s="14"/>
      <c r="M66" s="19"/>
      <c r="N66" s="19"/>
      <c r="O66" s="19"/>
      <c r="P66" s="19"/>
      <c r="Q66" s="13"/>
      <c r="R66" s="13"/>
      <c r="S66" s="13"/>
      <c r="T66" s="13"/>
    </row>
    <row r="67" spans="1:20">
      <c r="A67" s="13"/>
      <c r="B67" s="13"/>
      <c r="C67" s="14"/>
      <c r="D67" s="13"/>
      <c r="E67" s="13"/>
      <c r="F67" s="14"/>
      <c r="G67" s="47"/>
      <c r="H67" s="14"/>
      <c r="I67" s="14"/>
      <c r="J67" s="14"/>
      <c r="K67" s="14"/>
      <c r="L67" s="14"/>
      <c r="M67" s="19"/>
      <c r="N67" s="19"/>
      <c r="O67" s="19"/>
      <c r="P67" s="19"/>
      <c r="Q67" s="13"/>
      <c r="R67" s="13"/>
      <c r="S67" s="13"/>
      <c r="T67" s="13"/>
    </row>
    <row r="68" spans="1:20">
      <c r="A68" s="13"/>
      <c r="B68" s="13"/>
      <c r="C68" s="14"/>
      <c r="D68" s="13"/>
      <c r="E68" s="13"/>
      <c r="F68" s="14"/>
      <c r="G68" s="47"/>
      <c r="H68" s="14"/>
      <c r="I68" s="14"/>
      <c r="J68" s="14"/>
      <c r="K68" s="14"/>
      <c r="L68" s="14"/>
      <c r="M68" s="19"/>
      <c r="N68" s="19"/>
      <c r="O68" s="19"/>
      <c r="P68" s="19"/>
      <c r="Q68" s="13"/>
      <c r="R68" s="13"/>
      <c r="S68" s="13"/>
      <c r="T68" s="13"/>
    </row>
    <row r="69" spans="1:20">
      <c r="A69" s="13"/>
      <c r="B69" s="13"/>
      <c r="C69" s="14"/>
      <c r="D69" s="13"/>
      <c r="E69" s="13"/>
      <c r="F69" s="14"/>
      <c r="G69" s="47"/>
      <c r="H69" s="14"/>
      <c r="I69" s="14"/>
      <c r="J69" s="14"/>
      <c r="K69" s="14"/>
      <c r="L69" s="14"/>
      <c r="M69" s="19"/>
      <c r="N69" s="19"/>
      <c r="O69" s="19"/>
      <c r="P69" s="19"/>
      <c r="Q69" s="13"/>
      <c r="R69" s="13"/>
      <c r="S69" s="13"/>
      <c r="T69" s="13"/>
    </row>
    <row r="70" spans="1:20">
      <c r="A70" s="13"/>
      <c r="B70" s="13"/>
      <c r="C70" s="14"/>
      <c r="D70" s="13"/>
      <c r="E70" s="13"/>
      <c r="F70" s="14"/>
      <c r="G70" s="47"/>
      <c r="H70" s="14"/>
      <c r="I70" s="14"/>
      <c r="J70" s="14"/>
      <c r="K70" s="14"/>
      <c r="L70" s="14"/>
      <c r="M70" s="19"/>
      <c r="N70" s="19"/>
      <c r="O70" s="19"/>
      <c r="P70" s="19"/>
      <c r="Q70" s="13"/>
      <c r="R70" s="13"/>
      <c r="S70" s="13"/>
      <c r="T70" s="13"/>
    </row>
    <row r="71" spans="1:20">
      <c r="A71" s="13"/>
      <c r="B71" s="13"/>
      <c r="C71" s="14"/>
      <c r="D71" s="13"/>
      <c r="E71" s="13"/>
      <c r="F71" s="14"/>
      <c r="G71" s="47"/>
      <c r="H71" s="14"/>
      <c r="I71" s="14"/>
      <c r="J71" s="14"/>
      <c r="K71" s="14"/>
      <c r="L71" s="14"/>
      <c r="M71" s="19"/>
      <c r="N71" s="19"/>
      <c r="O71" s="19"/>
      <c r="P71" s="19"/>
      <c r="Q71" s="13"/>
      <c r="R71" s="13"/>
      <c r="S71" s="13"/>
      <c r="T71" s="13"/>
    </row>
    <row r="72" spans="1:20">
      <c r="A72" s="13"/>
      <c r="B72" s="13"/>
      <c r="C72" s="14"/>
      <c r="D72" s="13"/>
      <c r="E72" s="13"/>
      <c r="F72" s="14"/>
      <c r="G72" s="47"/>
      <c r="H72" s="14"/>
      <c r="I72" s="14"/>
      <c r="J72" s="14"/>
      <c r="K72" s="14"/>
      <c r="L72" s="14"/>
      <c r="M72" s="19"/>
      <c r="N72" s="19"/>
      <c r="O72" s="19"/>
      <c r="P72" s="19"/>
      <c r="Q72" s="13"/>
      <c r="R72" s="13"/>
      <c r="S72" s="13"/>
      <c r="T72" s="13"/>
    </row>
    <row r="73" spans="1:20">
      <c r="A73" s="13"/>
      <c r="B73" s="13"/>
      <c r="C73" s="14"/>
      <c r="D73" s="13"/>
      <c r="E73" s="13"/>
      <c r="F73" s="14"/>
      <c r="G73" s="47"/>
      <c r="H73" s="14"/>
      <c r="I73" s="14"/>
      <c r="J73" s="14"/>
      <c r="K73" s="14"/>
      <c r="L73" s="14"/>
      <c r="M73" s="19"/>
      <c r="N73" s="19"/>
      <c r="O73" s="19"/>
      <c r="P73" s="19"/>
      <c r="Q73" s="13"/>
      <c r="R73" s="13"/>
      <c r="S73" s="13"/>
      <c r="T73" s="13"/>
    </row>
    <row r="74" spans="1:20">
      <c r="A74" s="13"/>
      <c r="B74" s="13"/>
      <c r="C74" s="14"/>
      <c r="D74" s="13"/>
      <c r="E74" s="13"/>
      <c r="F74" s="14"/>
      <c r="G74" s="47"/>
      <c r="H74" s="14"/>
      <c r="I74" s="14"/>
      <c r="J74" s="14"/>
      <c r="K74" s="14"/>
      <c r="L74" s="14"/>
      <c r="M74" s="19"/>
      <c r="N74" s="19"/>
      <c r="O74" s="19"/>
      <c r="P74" s="19"/>
      <c r="Q74" s="13"/>
      <c r="R74" s="13"/>
    </row>
  </sheetData>
  <mergeCells count="1">
    <mergeCell ref="A1:AC3"/>
  </mergeCells>
  <pageMargins left="0.7" right="0.7" top="0.75" bottom="0.75" header="0.3" footer="0.3"/>
  <pageSetup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>
      <selection activeCell="H1" sqref="H1"/>
    </sheetView>
  </sheetViews>
  <sheetFormatPr defaultRowHeight="15"/>
  <cols>
    <col min="1" max="1" width="17.42578125" bestFit="1" customWidth="1"/>
    <col min="2" max="2" width="2" bestFit="1" customWidth="1"/>
    <col min="5" max="5" width="11.5703125" bestFit="1" customWidth="1"/>
    <col min="10" max="10" width="17.42578125" bestFit="1" customWidth="1"/>
  </cols>
  <sheetData>
    <row r="1" spans="1:11">
      <c r="A1" s="9" t="s">
        <v>19</v>
      </c>
      <c r="B1" s="14">
        <v>2</v>
      </c>
      <c r="C1">
        <v>2</v>
      </c>
      <c r="D1">
        <f>B1-C1</f>
        <v>0</v>
      </c>
      <c r="E1" t="str">
        <f>IF(D1&lt;=0,"Out of stock", "")</f>
        <v>Out of stock</v>
      </c>
      <c r="F1">
        <v>150235</v>
      </c>
      <c r="G1" t="s">
        <v>75</v>
      </c>
      <c r="H1">
        <f>IF(G1="yes",F1*0.13,0)</f>
        <v>0</v>
      </c>
      <c r="I1">
        <f>F1+H1</f>
        <v>150235</v>
      </c>
      <c r="J1" s="9" t="s">
        <v>19</v>
      </c>
      <c r="K1">
        <v>1</v>
      </c>
    </row>
    <row r="2" spans="1:11">
      <c r="A2" s="9" t="s">
        <v>21</v>
      </c>
      <c r="B2" s="14">
        <v>3</v>
      </c>
      <c r="C2">
        <f ca="1">SUMIF([1]SALE!$A:$T,A:A,[1]SALE!$G$5:$G$501)</f>
        <v>0</v>
      </c>
      <c r="D2">
        <f t="shared" ref="D2:D5" ca="1" si="0">B2-C2</f>
        <v>3</v>
      </c>
      <c r="E2" t="str">
        <f t="shared" ref="E2:E15" ca="1" si="1">IF(D2&lt;=0,"Out of stock", "")</f>
        <v/>
      </c>
      <c r="J2" s="9" t="s">
        <v>21</v>
      </c>
      <c r="K2">
        <v>1</v>
      </c>
    </row>
    <row r="3" spans="1:11">
      <c r="A3" s="24" t="s">
        <v>22</v>
      </c>
      <c r="B3" s="14">
        <v>4</v>
      </c>
      <c r="C3">
        <f ca="1">SUMIF([1]SALE!$F$7:$F$36,A1:A4,[1]SALE!$G$7:$G$26)</f>
        <v>1</v>
      </c>
      <c r="D3">
        <f t="shared" ca="1" si="0"/>
        <v>3</v>
      </c>
      <c r="E3" t="str">
        <f t="shared" ca="1" si="1"/>
        <v/>
      </c>
      <c r="J3" s="24" t="s">
        <v>22</v>
      </c>
      <c r="K3">
        <v>2</v>
      </c>
    </row>
    <row r="4" spans="1:11">
      <c r="A4" s="24"/>
      <c r="B4" s="14">
        <v>5</v>
      </c>
      <c r="C4">
        <f ca="1">SUMIF([1]SALE!$A:$T,A:A,[1]SALE!$G$5:$G$501)</f>
        <v>0</v>
      </c>
      <c r="D4">
        <f t="shared" ca="1" si="0"/>
        <v>5</v>
      </c>
      <c r="E4" t="str">
        <f t="shared" ca="1" si="1"/>
        <v/>
      </c>
      <c r="J4" s="9" t="s">
        <v>19</v>
      </c>
      <c r="K4">
        <v>1</v>
      </c>
    </row>
    <row r="5" spans="1:11">
      <c r="D5">
        <f t="shared" si="0"/>
        <v>0</v>
      </c>
      <c r="E5" t="str">
        <f t="shared" si="1"/>
        <v>Out of stock</v>
      </c>
    </row>
    <row r="6" spans="1:11">
      <c r="E6" t="str">
        <f t="shared" si="1"/>
        <v>Out of stock</v>
      </c>
    </row>
    <row r="7" spans="1:11">
      <c r="E7" t="str">
        <f t="shared" si="1"/>
        <v>Out of stock</v>
      </c>
    </row>
    <row r="8" spans="1:11">
      <c r="E8" t="str">
        <f t="shared" si="1"/>
        <v>Out of stock</v>
      </c>
    </row>
    <row r="9" spans="1:11">
      <c r="E9" t="str">
        <f t="shared" si="1"/>
        <v>Out of stock</v>
      </c>
    </row>
    <row r="10" spans="1:11">
      <c r="E10" t="str">
        <f t="shared" si="1"/>
        <v>Out of stock</v>
      </c>
    </row>
    <row r="11" spans="1:11">
      <c r="E11" t="str">
        <f t="shared" si="1"/>
        <v>Out of stock</v>
      </c>
    </row>
    <row r="12" spans="1:11">
      <c r="E12" t="str">
        <f t="shared" si="1"/>
        <v>Out of stock</v>
      </c>
    </row>
    <row r="13" spans="1:11">
      <c r="E13" t="str">
        <f t="shared" si="1"/>
        <v>Out of stock</v>
      </c>
    </row>
    <row r="14" spans="1:11">
      <c r="E14" t="str">
        <f t="shared" si="1"/>
        <v>Out of stock</v>
      </c>
    </row>
    <row r="15" spans="1:11">
      <c r="E15" t="str">
        <f t="shared" si="1"/>
        <v>Out of stock</v>
      </c>
    </row>
  </sheetData>
  <conditionalFormatting sqref="D3">
    <cfRule type="cellIs" dxfId="1" priority="2" operator="lessThan">
      <formula>1</formula>
    </cfRule>
  </conditionalFormatting>
  <conditionalFormatting sqref="D1:D1048576">
    <cfRule type="cellIs" dxfId="0" priority="1" operator="lessThan">
      <formula>1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2024-01-05T09:02:35Z</dcterms:modified>
</cp:coreProperties>
</file>