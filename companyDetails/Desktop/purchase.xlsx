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import " sheetId="1" r:id="rId1"/>
    <sheet name="local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K28" i="2"/>
  <c r="I25"/>
  <c r="J25" s="1"/>
  <c r="K25" s="1"/>
  <c r="I26"/>
  <c r="J26" s="1"/>
  <c r="K26" s="1"/>
  <c r="I27"/>
  <c r="J27" s="1"/>
  <c r="K27" s="1"/>
  <c r="I20"/>
  <c r="J20" s="1"/>
  <c r="K20" s="1"/>
  <c r="L20" s="1"/>
  <c r="I21"/>
  <c r="J21" s="1"/>
  <c r="K21" s="1"/>
  <c r="L21" s="1"/>
  <c r="I22"/>
  <c r="J22" s="1"/>
  <c r="K22" s="1"/>
  <c r="L22" s="1"/>
  <c r="I23"/>
  <c r="J23" s="1"/>
  <c r="K23" s="1"/>
  <c r="I24"/>
  <c r="J24" s="1"/>
  <c r="L27" l="1"/>
  <c r="L25"/>
  <c r="K24"/>
  <c r="L23" s="1"/>
  <c r="I19"/>
  <c r="J19" s="1"/>
  <c r="K19" s="1"/>
  <c r="L19" s="1"/>
  <c r="K17"/>
  <c r="I16"/>
  <c r="J16" s="1"/>
  <c r="K16" s="1"/>
  <c r="M34" i="1"/>
  <c r="W10"/>
  <c r="W15"/>
  <c r="W20"/>
  <c r="W26"/>
  <c r="W31"/>
  <c r="Y33"/>
  <c r="W36" l="1"/>
  <c r="Y28" l="1"/>
  <c r="K34" l="1"/>
  <c r="L34" s="1"/>
  <c r="K35"/>
  <c r="L35" s="1"/>
  <c r="K33"/>
  <c r="L33" s="1"/>
  <c r="L37" l="1"/>
  <c r="R33"/>
  <c r="W33" s="1"/>
  <c r="Q33"/>
  <c r="R35"/>
  <c r="W35" s="1"/>
  <c r="X35" s="1"/>
  <c r="R34"/>
  <c r="W34" s="1"/>
  <c r="X34" s="1"/>
  <c r="I11" i="2"/>
  <c r="J11" s="1"/>
  <c r="K11" s="1"/>
  <c r="I12"/>
  <c r="J12" s="1"/>
  <c r="K12" s="1"/>
  <c r="I13"/>
  <c r="J13" s="1"/>
  <c r="K13" s="1"/>
  <c r="I10"/>
  <c r="J10" s="1"/>
  <c r="K10" s="1"/>
  <c r="W37" i="1" l="1"/>
  <c r="X33"/>
  <c r="Y17"/>
  <c r="Y11"/>
  <c r="Y8"/>
  <c r="X29"/>
  <c r="X30"/>
  <c r="X28"/>
  <c r="W29"/>
  <c r="W30"/>
  <c r="W28"/>
  <c r="R30"/>
  <c r="R29"/>
  <c r="R28"/>
  <c r="Q28"/>
  <c r="M30"/>
  <c r="M29"/>
  <c r="M28"/>
  <c r="L29"/>
  <c r="L30"/>
  <c r="L28"/>
  <c r="K29"/>
  <c r="K30"/>
  <c r="K28"/>
  <c r="Y22"/>
  <c r="Q22" l="1"/>
  <c r="R23" l="1"/>
  <c r="W23" s="1"/>
  <c r="X23" s="1"/>
  <c r="R24"/>
  <c r="W24" s="1"/>
  <c r="X24" s="1"/>
  <c r="R25"/>
  <c r="W25" s="1"/>
  <c r="X25" s="1"/>
  <c r="R22"/>
  <c r="W22" s="1"/>
  <c r="X22" s="1"/>
  <c r="M25"/>
  <c r="M24"/>
  <c r="M23"/>
  <c r="M22"/>
  <c r="L23"/>
  <c r="L24"/>
  <c r="L25"/>
  <c r="L22"/>
  <c r="K23"/>
  <c r="K24"/>
  <c r="K25"/>
  <c r="K22"/>
  <c r="R18"/>
  <c r="W18" s="1"/>
  <c r="X18" s="1"/>
  <c r="R19"/>
  <c r="W19" s="1"/>
  <c r="X19" s="1"/>
  <c r="R17"/>
  <c r="W17" s="1"/>
  <c r="X17" s="1"/>
  <c r="Q17"/>
  <c r="M19"/>
  <c r="M18"/>
  <c r="M17"/>
  <c r="L18"/>
  <c r="L19"/>
  <c r="L17"/>
  <c r="K18"/>
  <c r="K19"/>
  <c r="K17"/>
  <c r="R14"/>
  <c r="W14" s="1"/>
  <c r="X14" s="1"/>
  <c r="R13"/>
  <c r="W13" s="1"/>
  <c r="X13" s="1"/>
  <c r="R12"/>
  <c r="W12" s="1"/>
  <c r="X12" s="1"/>
  <c r="Q12"/>
  <c r="M14"/>
  <c r="M13"/>
  <c r="M12"/>
  <c r="L13"/>
  <c r="L14"/>
  <c r="L12"/>
  <c r="K13"/>
  <c r="K14"/>
  <c r="K12"/>
  <c r="R9"/>
  <c r="W9" s="1"/>
  <c r="X9" s="1"/>
  <c r="R8" l="1"/>
  <c r="W8" s="1"/>
  <c r="X8" s="1"/>
  <c r="M9"/>
  <c r="M8"/>
  <c r="L9"/>
  <c r="L8"/>
  <c r="K9"/>
  <c r="K8"/>
  <c r="Q8" l="1"/>
</calcChain>
</file>

<file path=xl/sharedStrings.xml><?xml version="1.0" encoding="utf-8"?>
<sst xmlns="http://schemas.openxmlformats.org/spreadsheetml/2006/main" count="138" uniqueCount="124">
  <si>
    <t xml:space="preserve">S NO </t>
  </si>
  <si>
    <t xml:space="preserve">MITTI </t>
  </si>
  <si>
    <t>DATE</t>
  </si>
  <si>
    <t xml:space="preserve">VENDOR NAME </t>
  </si>
  <si>
    <t xml:space="preserve">PRODUCT NAME </t>
  </si>
  <si>
    <t>QTY</t>
  </si>
  <si>
    <t>rate in $</t>
  </si>
  <si>
    <t xml:space="preserve">RATE </t>
  </si>
  <si>
    <t xml:space="preserve">VALUE </t>
  </si>
  <si>
    <t xml:space="preserve">freight and </t>
  </si>
  <si>
    <t xml:space="preserve">EXCISE DUTY </t>
  </si>
  <si>
    <t xml:space="preserve">pp value </t>
  </si>
  <si>
    <t xml:space="preserve">  FREIGHT </t>
  </si>
  <si>
    <t>CLEARING</t>
  </si>
  <si>
    <t xml:space="preserve">BANK </t>
  </si>
  <si>
    <t xml:space="preserve">LANDING </t>
  </si>
  <si>
    <t xml:space="preserve">COST  </t>
  </si>
  <si>
    <t xml:space="preserve">VAT 13% </t>
  </si>
  <si>
    <t>insurance</t>
  </si>
  <si>
    <t>DHL</t>
  </si>
  <si>
    <t>EXPENSES</t>
  </si>
  <si>
    <t xml:space="preserve">CHARGES </t>
  </si>
  <si>
    <t>per piece</t>
  </si>
  <si>
    <t xml:space="preserve">exchange </t>
  </si>
  <si>
    <t xml:space="preserve">rate </t>
  </si>
  <si>
    <t>09.07.80</t>
  </si>
  <si>
    <t>25.07.23</t>
  </si>
  <si>
    <t xml:space="preserve">H K VLINK ELECTRONICS CO LTD </t>
  </si>
  <si>
    <t xml:space="preserve">H S CODE </t>
  </si>
  <si>
    <t xml:space="preserve">HDMI Splitter 1 in 8 out black </t>
  </si>
  <si>
    <t xml:space="preserve">USB/ TYPE-C 2 in 1 VIDEO CAPTURE CARD grey </t>
  </si>
  <si>
    <t>W-Z632</t>
  </si>
  <si>
    <t>V-HD08</t>
  </si>
  <si>
    <t xml:space="preserve"> NO</t>
  </si>
  <si>
    <t xml:space="preserve">MODEL </t>
  </si>
  <si>
    <t>DUTY</t>
  </si>
  <si>
    <t xml:space="preserve">IMPORT </t>
  </si>
  <si>
    <t xml:space="preserve">landing </t>
  </si>
  <si>
    <t xml:space="preserve">per item </t>
  </si>
  <si>
    <t>09.04.80</t>
  </si>
  <si>
    <t>AV MATRIX TECH CO.,LTD</t>
  </si>
  <si>
    <t>4CH HDMI PCIE CAPTURE Card</t>
  </si>
  <si>
    <t>1RU 3G-SDI 16 Channel multiviewer &amp; Switcher</t>
  </si>
  <si>
    <t>tally System 1 box+4 lamps</t>
  </si>
  <si>
    <t>VC42</t>
  </si>
  <si>
    <t>MMV1630</t>
  </si>
  <si>
    <t>TS3019-4 Tally</t>
  </si>
  <si>
    <t>shenjhen jinjiutianshi ind. Co. ltd</t>
  </si>
  <si>
    <t>KT-KD50X</t>
  </si>
  <si>
    <t>KT-UH86DHN</t>
  </si>
  <si>
    <t>KC20N</t>
  </si>
  <si>
    <t xml:space="preserve">PTZ CONFERENCE CAMERA </t>
  </si>
  <si>
    <t>JOT STICK CONTROLLER</t>
  </si>
  <si>
    <t>DTECH  GUANGZHOU ELEC. TECH.</t>
  </si>
  <si>
    <t>HDMI TO SDI CONVERTER</t>
  </si>
  <si>
    <t>SDI TO HDMI CONVERTER</t>
  </si>
  <si>
    <t>4K USB 3.0 HDMI CAPTURE</t>
  </si>
  <si>
    <t>4K *2K HDMI SPLITTER</t>
  </si>
  <si>
    <t>DT-6529A</t>
  </si>
  <si>
    <t>DT-6529B</t>
  </si>
  <si>
    <t>DT-8002</t>
  </si>
  <si>
    <t>DT-7148B(MS)</t>
  </si>
  <si>
    <t>vat collected</t>
  </si>
  <si>
    <t xml:space="preserve"> vat no included</t>
  </si>
  <si>
    <t>total</t>
  </si>
  <si>
    <t>17.04.80</t>
  </si>
  <si>
    <t>02.08.23</t>
  </si>
  <si>
    <t>KILO VIEW ELECTRONICS CO., LTD</t>
  </si>
  <si>
    <t>HDMI BONDING VIDEO CONVERTER</t>
  </si>
  <si>
    <t>VIDEO CONVERTER</t>
  </si>
  <si>
    <t>NDI Video converter</t>
  </si>
  <si>
    <t>P2</t>
  </si>
  <si>
    <t>E3</t>
  </si>
  <si>
    <t>N6</t>
  </si>
  <si>
    <t>CUSTOM SERVICE</t>
  </si>
  <si>
    <t>VAT INCLUDED</t>
  </si>
  <si>
    <t>IMPORT 80-81</t>
  </si>
  <si>
    <t xml:space="preserve">S no </t>
  </si>
  <si>
    <t xml:space="preserve">Nep date </t>
  </si>
  <si>
    <t xml:space="preserve">Eng date </t>
  </si>
  <si>
    <t xml:space="preserve">INVOICE </t>
  </si>
  <si>
    <t xml:space="preserve">PRODUCT  NAME </t>
  </si>
  <si>
    <t>RATE</t>
  </si>
  <si>
    <t>TOTAL</t>
  </si>
  <si>
    <t>COST</t>
  </si>
  <si>
    <t xml:space="preserve">AMOUNT </t>
  </si>
  <si>
    <t>LOCAL PURCHASE 80-81</t>
  </si>
  <si>
    <t>09.06.80</t>
  </si>
  <si>
    <t>26.09.23</t>
  </si>
  <si>
    <t>DRISHTI TECH PVT LTD</t>
  </si>
  <si>
    <t>SC-0091</t>
  </si>
  <si>
    <t>VE804255100</t>
  </si>
  <si>
    <t>ZENTEK 6PORT PDU (ZT-6PUN-13AUK)</t>
  </si>
  <si>
    <t>VC700190100</t>
  </si>
  <si>
    <t>VC700404111</t>
  </si>
  <si>
    <t>04.06.80</t>
  </si>
  <si>
    <t>02.09.23</t>
  </si>
  <si>
    <t>KILO VIEW ELECTRONICS  CO.LTD</t>
  </si>
  <si>
    <t>p2</t>
  </si>
  <si>
    <t>P1</t>
  </si>
  <si>
    <t>HDMI BONDING VIDEO CONVERTER( REPLACEMENT)</t>
  </si>
  <si>
    <t>10.06.80</t>
  </si>
  <si>
    <t>27.09.23</t>
  </si>
  <si>
    <t>NAV SOLUTIONS PVT LTD</t>
  </si>
  <si>
    <t>DTECH HOO8 HDMI CABLE</t>
  </si>
  <si>
    <t>12.05.80</t>
  </si>
  <si>
    <t>UTSAV AUTO SPARE PARTS</t>
  </si>
  <si>
    <t xml:space="preserve">EXIDE XPLORE 12XL-9 B </t>
  </si>
  <si>
    <t>REMARKS</t>
  </si>
  <si>
    <t xml:space="preserve">FOR OFFICE </t>
  </si>
  <si>
    <t>19.06.80</t>
  </si>
  <si>
    <t>06.10.23</t>
  </si>
  <si>
    <t>Max International</t>
  </si>
  <si>
    <t>server Dell T40 S,N 2YFT853</t>
  </si>
  <si>
    <t xml:space="preserve">deliver to tv today </t>
  </si>
  <si>
    <t xml:space="preserve">SALES </t>
  </si>
  <si>
    <t>shiv electronics concern</t>
  </si>
  <si>
    <t>HDMI 4K 30M</t>
  </si>
  <si>
    <t>HDMI 4K50M</t>
  </si>
  <si>
    <t>22.07.80</t>
  </si>
  <si>
    <t xml:space="preserve">shiv eletronics concern </t>
  </si>
  <si>
    <t>HDMI 30M CABLE</t>
  </si>
  <si>
    <t>08.11.23</t>
  </si>
  <si>
    <t>29.01.80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</si>
</sst>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.0_);_(* \(#,##0.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43" fontId="4" fillId="3" borderId="3" xfId="1" applyFont="1" applyFill="1" applyBorder="1" applyAlignment="1">
      <alignment horizontal="center" vertical="center"/>
    </xf>
    <xf numFmtId="43" fontId="3" fillId="3" borderId="8" xfId="1" applyFont="1" applyFill="1" applyBorder="1" applyAlignment="1">
      <alignment horizontal="center" vertical="center"/>
    </xf>
    <xf numFmtId="43" fontId="3" fillId="3" borderId="11" xfId="1" applyFont="1" applyFill="1" applyBorder="1" applyAlignment="1">
      <alignment horizontal="center" vertical="center"/>
    </xf>
    <xf numFmtId="43" fontId="5" fillId="0" borderId="14" xfId="1" applyFont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43" fontId="4" fillId="3" borderId="17" xfId="1" applyFont="1" applyFill="1" applyBorder="1" applyAlignment="1">
      <alignment horizontal="center" vertical="center"/>
    </xf>
    <xf numFmtId="43" fontId="4" fillId="3" borderId="18" xfId="1" applyFont="1" applyFill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4" xfId="0" applyBorder="1"/>
    <xf numFmtId="0" fontId="0" fillId="0" borderId="14" xfId="0" applyBorder="1" applyAlignment="1">
      <alignment horizontal="center" vertical="center"/>
    </xf>
    <xf numFmtId="43" fontId="0" fillId="0" borderId="14" xfId="1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43" fontId="0" fillId="0" borderId="0" xfId="1" applyNumberFormat="1" applyFont="1" applyAlignment="1">
      <alignment horizontal="center" vertical="center"/>
    </xf>
    <xf numFmtId="43" fontId="0" fillId="0" borderId="14" xfId="1" applyNumberFormat="1" applyFont="1" applyBorder="1" applyAlignment="1">
      <alignment horizontal="center" vertical="center"/>
    </xf>
    <xf numFmtId="43" fontId="0" fillId="0" borderId="14" xfId="0" applyNumberFormat="1" applyBorder="1"/>
    <xf numFmtId="43" fontId="0" fillId="0" borderId="0" xfId="0" applyNumberFormat="1"/>
    <xf numFmtId="0" fontId="0" fillId="4" borderId="14" xfId="0" applyFill="1" applyBorder="1"/>
    <xf numFmtId="0" fontId="0" fillId="4" borderId="14" xfId="0" applyFill="1" applyBorder="1" applyAlignment="1">
      <alignment horizontal="center"/>
    </xf>
    <xf numFmtId="0" fontId="0" fillId="0" borderId="21" xfId="0" applyBorder="1" applyAlignment="1"/>
    <xf numFmtId="0" fontId="0" fillId="0" borderId="12" xfId="0" applyBorder="1" applyAlignment="1"/>
    <xf numFmtId="0" fontId="0" fillId="0" borderId="14" xfId="0" applyBorder="1" applyAlignment="1"/>
    <xf numFmtId="43" fontId="3" fillId="3" borderId="8" xfId="1" applyFont="1" applyFill="1" applyBorder="1" applyAlignment="1">
      <alignment horizontal="center" vertical="center" wrapText="1"/>
    </xf>
    <xf numFmtId="43" fontId="3" fillId="3" borderId="11" xfId="1" applyFont="1" applyFill="1" applyBorder="1" applyAlignment="1">
      <alignment horizontal="center" vertical="center" wrapText="1"/>
    </xf>
    <xf numFmtId="43" fontId="0" fillId="0" borderId="21" xfId="0" applyNumberFormat="1" applyBorder="1" applyAlignment="1"/>
    <xf numFmtId="43" fontId="0" fillId="0" borderId="14" xfId="0" applyNumberFormat="1" applyBorder="1" applyAlignment="1"/>
    <xf numFmtId="0" fontId="7" fillId="0" borderId="14" xfId="0" applyFont="1" applyBorder="1"/>
    <xf numFmtId="43" fontId="4" fillId="3" borderId="8" xfId="1" applyNumberFormat="1" applyFont="1" applyFill="1" applyBorder="1" applyAlignment="1">
      <alignment vertical="center"/>
    </xf>
    <xf numFmtId="43" fontId="4" fillId="3" borderId="20" xfId="1" applyNumberFormat="1" applyFont="1" applyFill="1" applyBorder="1" applyAlignment="1">
      <alignment vertical="center"/>
    </xf>
    <xf numFmtId="43" fontId="0" fillId="4" borderId="14" xfId="0" applyNumberFormat="1" applyFill="1" applyBorder="1"/>
    <xf numFmtId="164" fontId="0" fillId="0" borderId="0" xfId="1" applyNumberFormat="1" applyFont="1" applyAlignment="1">
      <alignment horizontal="center" vertical="center"/>
    </xf>
    <xf numFmtId="164" fontId="0" fillId="0" borderId="14" xfId="1" applyNumberFormat="1" applyFont="1" applyBorder="1" applyAlignment="1">
      <alignment horizontal="center" vertical="center"/>
    </xf>
    <xf numFmtId="164" fontId="0" fillId="0" borderId="14" xfId="0" applyNumberFormat="1" applyBorder="1"/>
    <xf numFmtId="164" fontId="0" fillId="4" borderId="14" xfId="0" applyNumberFormat="1" applyFill="1" applyBorder="1"/>
    <xf numFmtId="164" fontId="0" fillId="0" borderId="0" xfId="0" applyNumberFormat="1"/>
    <xf numFmtId="43" fontId="0" fillId="4" borderId="21" xfId="0" applyNumberFormat="1" applyFill="1" applyBorder="1" applyAlignment="1"/>
    <xf numFmtId="43" fontId="3" fillId="3" borderId="8" xfId="1" applyFont="1" applyFill="1" applyBorder="1" applyAlignment="1">
      <alignment vertical="center" wrapText="1"/>
    </xf>
    <xf numFmtId="43" fontId="3" fillId="3" borderId="20" xfId="1" applyFont="1" applyFill="1" applyBorder="1" applyAlignment="1">
      <alignment vertical="center" wrapText="1"/>
    </xf>
    <xf numFmtId="43" fontId="3" fillId="3" borderId="8" xfId="1" applyFont="1" applyFill="1" applyBorder="1" applyAlignment="1">
      <alignment vertical="center"/>
    </xf>
    <xf numFmtId="43" fontId="3" fillId="3" borderId="20" xfId="1" applyFont="1" applyFill="1" applyBorder="1" applyAlignment="1">
      <alignment vertical="center"/>
    </xf>
    <xf numFmtId="43" fontId="6" fillId="3" borderId="3" xfId="1" applyFont="1" applyFill="1" applyBorder="1" applyAlignment="1">
      <alignment horizontal="center" vertical="center"/>
    </xf>
    <xf numFmtId="43" fontId="8" fillId="3" borderId="17" xfId="1" applyFont="1" applyFill="1" applyBorder="1" applyAlignment="1">
      <alignment horizontal="center" vertical="center"/>
    </xf>
    <xf numFmtId="43" fontId="0" fillId="0" borderId="14" xfId="0" applyNumberFormat="1" applyBorder="1" applyAlignment="1">
      <alignment horizontal="center"/>
    </xf>
    <xf numFmtId="43" fontId="4" fillId="3" borderId="8" xfId="1" applyFont="1" applyFill="1" applyBorder="1" applyAlignment="1">
      <alignment horizontal="center" vertical="center"/>
    </xf>
    <xf numFmtId="43" fontId="6" fillId="3" borderId="8" xfId="1" applyFont="1" applyFill="1" applyBorder="1" applyAlignment="1">
      <alignment horizontal="center" vertical="center"/>
    </xf>
    <xf numFmtId="43" fontId="4" fillId="3" borderId="11" xfId="1" applyFont="1" applyFill="1" applyBorder="1" applyAlignment="1">
      <alignment horizontal="center" vertical="center"/>
    </xf>
    <xf numFmtId="43" fontId="6" fillId="3" borderId="11" xfId="1" applyFont="1" applyFill="1" applyBorder="1" applyAlignment="1">
      <alignment horizontal="center" vertical="center"/>
    </xf>
    <xf numFmtId="43" fontId="4" fillId="3" borderId="1" xfId="1" applyFont="1" applyFill="1" applyBorder="1" applyAlignment="1">
      <alignment horizontal="center" vertical="center"/>
    </xf>
    <xf numFmtId="43" fontId="0" fillId="0" borderId="0" xfId="1" applyFont="1"/>
    <xf numFmtId="0" fontId="9" fillId="0" borderId="22" xfId="0" applyFont="1" applyBorder="1"/>
    <xf numFmtId="0" fontId="9" fillId="0" borderId="0" xfId="0" applyFont="1" applyBorder="1"/>
    <xf numFmtId="0" fontId="0" fillId="6" borderId="14" xfId="0" applyFill="1" applyBorder="1"/>
    <xf numFmtId="43" fontId="0" fillId="0" borderId="14" xfId="1" applyFont="1" applyBorder="1"/>
    <xf numFmtId="0" fontId="0" fillId="7" borderId="14" xfId="0" applyFont="1" applyFill="1" applyBorder="1" applyAlignment="1">
      <alignment horizontal="center" vertical="center"/>
    </xf>
    <xf numFmtId="43" fontId="1" fillId="7" borderId="14" xfId="1" applyFont="1" applyFill="1" applyBorder="1"/>
    <xf numFmtId="0" fontId="0" fillId="7" borderId="14" xfId="0" applyFill="1" applyBorder="1" applyAlignment="1">
      <alignment horizontal="center" vertical="center"/>
    </xf>
    <xf numFmtId="43" fontId="0" fillId="7" borderId="14" xfId="1" applyFont="1" applyFill="1" applyBorder="1"/>
    <xf numFmtId="0" fontId="9" fillId="0" borderId="26" xfId="0" applyFont="1" applyBorder="1" applyAlignment="1">
      <alignment horizontal="center" vertical="center"/>
    </xf>
    <xf numFmtId="43" fontId="9" fillId="0" borderId="26" xfId="1" applyFont="1" applyBorder="1"/>
    <xf numFmtId="43" fontId="9" fillId="0" borderId="27" xfId="1" applyFont="1" applyBorder="1"/>
    <xf numFmtId="43" fontId="9" fillId="0" borderId="8" xfId="1" applyFont="1" applyBorder="1"/>
    <xf numFmtId="0" fontId="9" fillId="0" borderId="14" xfId="0" applyFont="1" applyBorder="1"/>
    <xf numFmtId="0" fontId="9" fillId="0" borderId="14" xfId="0" applyFont="1" applyBorder="1" applyAlignment="1">
      <alignment horizontal="center" vertical="center"/>
    </xf>
    <xf numFmtId="43" fontId="9" fillId="0" borderId="14" xfId="1" applyFont="1" applyBorder="1"/>
    <xf numFmtId="0" fontId="9" fillId="0" borderId="14" xfId="0" applyFont="1" applyBorder="1" applyAlignment="1">
      <alignment horizontal="center" vertical="top"/>
    </xf>
    <xf numFmtId="0" fontId="9" fillId="0" borderId="14" xfId="0" applyFont="1" applyBorder="1" applyAlignment="1">
      <alignment vertical="top"/>
    </xf>
    <xf numFmtId="0" fontId="0" fillId="8" borderId="14" xfId="0" applyFill="1" applyBorder="1"/>
    <xf numFmtId="0" fontId="0" fillId="8" borderId="14" xfId="0" applyFill="1" applyBorder="1" applyAlignment="1">
      <alignment horizontal="center"/>
    </xf>
    <xf numFmtId="164" fontId="0" fillId="8" borderId="14" xfId="0" applyNumberFormat="1" applyFill="1" applyBorder="1"/>
    <xf numFmtId="43" fontId="0" fillId="8" borderId="14" xfId="0" applyNumberFormat="1" applyFill="1" applyBorder="1"/>
    <xf numFmtId="0" fontId="11" fillId="8" borderId="14" xfId="0" applyFont="1" applyFill="1" applyBorder="1"/>
    <xf numFmtId="0" fontId="0" fillId="0" borderId="24" xfId="0" applyBorder="1"/>
    <xf numFmtId="0" fontId="0" fillId="0" borderId="14" xfId="0" applyFill="1" applyBorder="1"/>
    <xf numFmtId="0" fontId="0" fillId="0" borderId="23" xfId="0" applyBorder="1"/>
    <xf numFmtId="0" fontId="0" fillId="8" borderId="23" xfId="0" applyFill="1" applyBorder="1"/>
    <xf numFmtId="164" fontId="3" fillId="3" borderId="3" xfId="1" applyNumberFormat="1" applyFont="1" applyFill="1" applyBorder="1" applyAlignment="1">
      <alignment horizontal="center" vertical="center"/>
    </xf>
    <xf numFmtId="164" fontId="3" fillId="3" borderId="17" xfId="1" applyNumberFormat="1" applyFont="1" applyFill="1" applyBorder="1" applyAlignment="1">
      <alignment horizontal="center" vertical="center"/>
    </xf>
    <xf numFmtId="0" fontId="12" fillId="0" borderId="25" xfId="0" applyFont="1" applyBorder="1"/>
    <xf numFmtId="43" fontId="9" fillId="0" borderId="21" xfId="1" applyFont="1" applyBorder="1"/>
    <xf numFmtId="0" fontId="9" fillId="0" borderId="2" xfId="0" applyFont="1" applyBorder="1"/>
    <xf numFmtId="43" fontId="0" fillId="0" borderId="12" xfId="1" applyFont="1" applyFill="1" applyBorder="1" applyAlignment="1"/>
    <xf numFmtId="43" fontId="0" fillId="7" borderId="14" xfId="1" applyFont="1" applyFill="1" applyBorder="1" applyAlignment="1"/>
    <xf numFmtId="0" fontId="0" fillId="0" borderId="14" xfId="0" applyBorder="1" applyAlignment="1">
      <alignment horizontal="center"/>
    </xf>
    <xf numFmtId="43" fontId="0" fillId="0" borderId="21" xfId="0" applyNumberFormat="1" applyBorder="1" applyAlignment="1">
      <alignment horizontal="center"/>
    </xf>
    <xf numFmtId="43" fontId="0" fillId="0" borderId="13" xfId="0" applyNumberFormat="1" applyBorder="1" applyAlignment="1">
      <alignment horizontal="center"/>
    </xf>
    <xf numFmtId="43" fontId="0" fillId="0" borderId="12" xfId="0" applyNumberFormat="1" applyBorder="1" applyAlignment="1">
      <alignment horizontal="center"/>
    </xf>
    <xf numFmtId="43" fontId="3" fillId="3" borderId="10" xfId="1" applyFont="1" applyFill="1" applyBorder="1" applyAlignment="1">
      <alignment horizontal="center" vertical="center"/>
    </xf>
    <xf numFmtId="43" fontId="3" fillId="3" borderId="19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164" fontId="3" fillId="3" borderId="9" xfId="1" applyNumberFormat="1" applyFont="1" applyFill="1" applyBorder="1" applyAlignment="1">
      <alignment horizontal="center" vertical="center"/>
    </xf>
    <xf numFmtId="164" fontId="3" fillId="3" borderId="16" xfId="1" applyNumberFormat="1" applyFont="1" applyFill="1" applyBorder="1" applyAlignment="1">
      <alignment horizontal="center" vertical="center"/>
    </xf>
    <xf numFmtId="164" fontId="3" fillId="3" borderId="8" xfId="1" applyNumberFormat="1" applyFont="1" applyFill="1" applyBorder="1" applyAlignment="1">
      <alignment horizontal="center" vertical="center"/>
    </xf>
    <xf numFmtId="164" fontId="3" fillId="3" borderId="11" xfId="1" applyNumberFormat="1" applyFont="1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43" fontId="0" fillId="0" borderId="21" xfId="0" applyNumberFormat="1" applyBorder="1" applyAlignment="1">
      <alignment horizontal="center" wrapText="1"/>
    </xf>
    <xf numFmtId="43" fontId="0" fillId="0" borderId="13" xfId="0" applyNumberFormat="1" applyBorder="1" applyAlignment="1">
      <alignment horizontal="center" wrapText="1"/>
    </xf>
    <xf numFmtId="43" fontId="0" fillId="0" borderId="12" xfId="0" applyNumberFormat="1" applyBorder="1" applyAlignment="1">
      <alignment horizontal="center" wrapText="1"/>
    </xf>
    <xf numFmtId="43" fontId="9" fillId="7" borderId="21" xfId="1" applyFont="1" applyFill="1" applyBorder="1" applyAlignment="1">
      <alignment horizontal="center"/>
    </xf>
    <xf numFmtId="43" fontId="9" fillId="7" borderId="13" xfId="1" applyFont="1" applyFill="1" applyBorder="1" applyAlignment="1">
      <alignment horizontal="center"/>
    </xf>
    <xf numFmtId="43" fontId="9" fillId="7" borderId="12" xfId="1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43" fontId="0" fillId="7" borderId="21" xfId="1" applyFont="1" applyFill="1" applyBorder="1" applyAlignment="1">
      <alignment horizontal="center"/>
    </xf>
    <xf numFmtId="43" fontId="0" fillId="7" borderId="12" xfId="1" applyFont="1" applyFill="1" applyBorder="1" applyAlignment="1">
      <alignment horizontal="center"/>
    </xf>
    <xf numFmtId="0" fontId="9" fillId="0" borderId="14" xfId="0" applyFont="1" applyFill="1" applyBorder="1" applyAlignment="1">
      <alignment vertical="top"/>
    </xf>
    <xf numFmtId="0" fontId="0" fillId="0" borderId="14" xfId="0" applyFill="1" applyBorder="1" applyAlignment="1">
      <alignment horizontal="center" vertical="center"/>
    </xf>
    <xf numFmtId="43" fontId="0" fillId="0" borderId="14" xfId="1" applyFont="1" applyFill="1" applyBorder="1"/>
    <xf numFmtId="43" fontId="1" fillId="0" borderId="14" xfId="1" applyFont="1" applyFill="1" applyBorder="1"/>
    <xf numFmtId="0" fontId="0" fillId="0" borderId="0" xfId="0" applyFill="1"/>
    <xf numFmtId="43" fontId="0" fillId="0" borderId="14" xfId="1" applyFont="1" applyFill="1" applyBorder="1" applyAlignment="1"/>
    <xf numFmtId="43" fontId="0" fillId="0" borderId="12" xfId="1" applyFont="1" applyFill="1" applyBorder="1"/>
    <xf numFmtId="0" fontId="0" fillId="0" borderId="0" xfId="0" applyFont="1"/>
    <xf numFmtId="0" fontId="0" fillId="0" borderId="26" xfId="0" applyFont="1" applyBorder="1"/>
    <xf numFmtId="0" fontId="0" fillId="0" borderId="14" xfId="0" applyFont="1" applyBorder="1"/>
    <xf numFmtId="0" fontId="0" fillId="7" borderId="14" xfId="0" applyFont="1" applyFill="1" applyBorder="1"/>
    <xf numFmtId="0" fontId="0" fillId="0" borderId="14" xfId="0" applyFont="1" applyBorder="1" applyAlignment="1">
      <alignment vertical="top"/>
    </xf>
    <xf numFmtId="0" fontId="0" fillId="0" borderId="14" xfId="0" applyFont="1" applyFill="1" applyBorder="1" applyAlignment="1">
      <alignment vertical="top"/>
    </xf>
    <xf numFmtId="0" fontId="0" fillId="0" borderId="14" xfId="0" applyFont="1" applyFill="1" applyBorder="1"/>
    <xf numFmtId="0" fontId="0" fillId="0" borderId="0" xfId="0" applyFont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44"/>
  <sheetViews>
    <sheetView topLeftCell="A16" workbookViewId="0">
      <selection activeCell="I34" sqref="I34"/>
    </sheetView>
  </sheetViews>
  <sheetFormatPr defaultRowHeight="15"/>
  <cols>
    <col min="1" max="1" width="4.28515625" bestFit="1" customWidth="1"/>
    <col min="2" max="3" width="8.140625" bestFit="1" customWidth="1"/>
    <col min="4" max="4" width="31" bestFit="1" customWidth="1"/>
    <col min="5" max="5" width="47.7109375" bestFit="1" customWidth="1"/>
    <col min="6" max="6" width="11" bestFit="1" customWidth="1"/>
    <col min="7" max="7" width="13.42578125" style="18" bestFit="1" customWidth="1"/>
    <col min="8" max="8" width="5.85546875" customWidth="1"/>
    <col min="11" max="11" width="11.28515625" style="41" bestFit="1" customWidth="1"/>
    <col min="12" max="12" width="13.28515625" style="41" bestFit="1" customWidth="1"/>
    <col min="13" max="13" width="12.7109375" style="41" bestFit="1" customWidth="1"/>
    <col min="14" max="14" width="11.28515625" style="23" bestFit="1" customWidth="1"/>
    <col min="15" max="15" width="12.140625" bestFit="1" customWidth="1"/>
    <col min="16" max="16" width="14.140625" customWidth="1"/>
    <col min="17" max="17" width="16" customWidth="1"/>
    <col min="18" max="18" width="11.5703125" bestFit="1" customWidth="1"/>
    <col min="19" max="19" width="5.28515625" customWidth="1"/>
    <col min="20" max="20" width="9.85546875" bestFit="1" customWidth="1"/>
    <col min="21" max="21" width="8.140625" customWidth="1"/>
    <col min="23" max="24" width="11.5703125" bestFit="1" customWidth="1"/>
    <col min="25" max="25" width="13.5703125" customWidth="1"/>
  </cols>
  <sheetData>
    <row r="1" spans="1:25" ht="15.75" thickBot="1">
      <c r="A1" s="1"/>
      <c r="B1" s="1"/>
      <c r="C1" s="1"/>
      <c r="H1" s="2"/>
      <c r="I1" s="2"/>
      <c r="J1" s="2"/>
      <c r="K1" s="37"/>
      <c r="L1" s="37"/>
      <c r="M1" s="37"/>
      <c r="N1" s="20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>
      <c r="A2" s="95" t="s">
        <v>76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7"/>
    </row>
    <row r="3" spans="1:25" ht="15.75" thickBot="1">
      <c r="A3" s="98"/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100"/>
    </row>
    <row r="4" spans="1:25" ht="15.75" thickBot="1">
      <c r="A4" s="1"/>
      <c r="B4" s="1"/>
      <c r="C4" s="1"/>
      <c r="H4" s="2"/>
      <c r="I4" s="2"/>
      <c r="J4" s="2"/>
      <c r="K4" s="37"/>
      <c r="L4" s="37"/>
      <c r="M4" s="37"/>
      <c r="N4" s="20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>
      <c r="A5" s="101" t="s">
        <v>0</v>
      </c>
      <c r="B5" s="103" t="s">
        <v>1</v>
      </c>
      <c r="C5" s="103" t="s">
        <v>2</v>
      </c>
      <c r="D5" s="105" t="s">
        <v>3</v>
      </c>
      <c r="E5" s="105" t="s">
        <v>4</v>
      </c>
      <c r="F5" s="16" t="s">
        <v>28</v>
      </c>
      <c r="G5" s="16" t="s">
        <v>34</v>
      </c>
      <c r="H5" s="107" t="s">
        <v>5</v>
      </c>
      <c r="I5" s="4" t="s">
        <v>6</v>
      </c>
      <c r="J5" s="4" t="s">
        <v>23</v>
      </c>
      <c r="K5" s="109" t="s">
        <v>7</v>
      </c>
      <c r="L5" s="111" t="s">
        <v>8</v>
      </c>
      <c r="M5" s="82" t="s">
        <v>9</v>
      </c>
      <c r="N5" s="34" t="s">
        <v>36</v>
      </c>
      <c r="O5" s="5" t="s">
        <v>10</v>
      </c>
      <c r="P5" s="47" t="s">
        <v>74</v>
      </c>
      <c r="Q5" s="43" t="s">
        <v>11</v>
      </c>
      <c r="R5" s="29" t="s">
        <v>37</v>
      </c>
      <c r="S5" s="51" t="s">
        <v>12</v>
      </c>
      <c r="T5" s="54" t="s">
        <v>13</v>
      </c>
      <c r="U5" s="50" t="s">
        <v>14</v>
      </c>
      <c r="V5" s="93" t="s">
        <v>17</v>
      </c>
      <c r="W5" s="45" t="s">
        <v>15</v>
      </c>
      <c r="X5" s="6" t="s">
        <v>16</v>
      </c>
      <c r="Y5" s="93" t="s">
        <v>62</v>
      </c>
    </row>
    <row r="6" spans="1:25">
      <c r="A6" s="102"/>
      <c r="B6" s="104"/>
      <c r="C6" s="104"/>
      <c r="D6" s="106"/>
      <c r="E6" s="106"/>
      <c r="F6" s="17"/>
      <c r="G6" s="17" t="s">
        <v>33</v>
      </c>
      <c r="H6" s="108"/>
      <c r="I6" s="9"/>
      <c r="J6" s="9" t="s">
        <v>24</v>
      </c>
      <c r="K6" s="110"/>
      <c r="L6" s="112"/>
      <c r="M6" s="83" t="s">
        <v>18</v>
      </c>
      <c r="N6" s="35" t="s">
        <v>35</v>
      </c>
      <c r="O6" s="10"/>
      <c r="P6" s="48" t="s">
        <v>75</v>
      </c>
      <c r="Q6" s="44" t="s">
        <v>63</v>
      </c>
      <c r="R6" s="30" t="s">
        <v>38</v>
      </c>
      <c r="S6" s="53" t="s">
        <v>19</v>
      </c>
      <c r="T6" s="11" t="s">
        <v>20</v>
      </c>
      <c r="U6" s="52" t="s">
        <v>21</v>
      </c>
      <c r="V6" s="94"/>
      <c r="W6" s="46" t="s">
        <v>64</v>
      </c>
      <c r="X6" s="7" t="s">
        <v>22</v>
      </c>
      <c r="Y6" s="94"/>
    </row>
    <row r="7" spans="1:25">
      <c r="A7" s="12"/>
      <c r="B7" s="12"/>
      <c r="C7" s="12"/>
      <c r="D7" s="13"/>
      <c r="E7" s="13"/>
      <c r="F7" s="13"/>
      <c r="G7" s="19"/>
      <c r="H7" s="14"/>
      <c r="I7" s="14"/>
      <c r="J7" s="14"/>
      <c r="K7" s="38"/>
      <c r="L7" s="38"/>
      <c r="M7" s="38"/>
      <c r="N7" s="21"/>
      <c r="O7" s="15"/>
      <c r="P7" s="15"/>
      <c r="Q7" s="15"/>
      <c r="R7" s="15"/>
      <c r="S7" s="15"/>
      <c r="T7" s="15"/>
      <c r="U7" s="15"/>
      <c r="V7" s="15"/>
      <c r="W7" s="15"/>
      <c r="X7" s="8"/>
      <c r="Y7" s="15"/>
    </row>
    <row r="8" spans="1:25">
      <c r="A8" s="13">
        <v>1</v>
      </c>
      <c r="B8" s="13" t="s">
        <v>25</v>
      </c>
      <c r="C8" s="13" t="s">
        <v>26</v>
      </c>
      <c r="D8" s="13" t="s">
        <v>27</v>
      </c>
      <c r="E8" s="13" t="s">
        <v>30</v>
      </c>
      <c r="F8" s="13">
        <v>8543709990</v>
      </c>
      <c r="G8" s="19" t="s">
        <v>31</v>
      </c>
      <c r="H8" s="13">
        <v>10</v>
      </c>
      <c r="I8" s="13">
        <v>5</v>
      </c>
      <c r="J8" s="13">
        <v>131.21</v>
      </c>
      <c r="K8" s="39">
        <f>J8*I8</f>
        <v>656.05000000000007</v>
      </c>
      <c r="L8" s="39">
        <f>K8*H8</f>
        <v>6560.5000000000009</v>
      </c>
      <c r="M8" s="39">
        <f>666.13+131.21</f>
        <v>797.34</v>
      </c>
      <c r="N8" s="22">
        <v>368</v>
      </c>
      <c r="O8" s="13">
        <v>387</v>
      </c>
      <c r="P8" s="13">
        <v>282.5</v>
      </c>
      <c r="Q8" s="90">
        <f>L8+L9+M8+M9+N8+N9+O8+P8+P9</f>
        <v>34063.35</v>
      </c>
      <c r="R8" s="49">
        <f>P8+O8+N8+M8+L8</f>
        <v>8395.34</v>
      </c>
      <c r="S8" s="13"/>
      <c r="T8" s="28">
        <v>2668.5</v>
      </c>
      <c r="U8" s="26">
        <v>625</v>
      </c>
      <c r="V8" s="26">
        <v>1055</v>
      </c>
      <c r="W8" s="31">
        <f>V8+U8+T8+R8</f>
        <v>12743.84</v>
      </c>
      <c r="X8" s="32">
        <f>W8/10</f>
        <v>1274.384</v>
      </c>
      <c r="Y8" s="113">
        <f>65+1055+3301+15.73+65+520</f>
        <v>5021.7299999999996</v>
      </c>
    </row>
    <row r="9" spans="1:25">
      <c r="A9" s="13"/>
      <c r="B9" s="13"/>
      <c r="C9" s="13"/>
      <c r="D9" s="13"/>
      <c r="E9" s="13" t="s">
        <v>29</v>
      </c>
      <c r="F9" s="13">
        <v>8543709990</v>
      </c>
      <c r="G9" s="19" t="s">
        <v>32</v>
      </c>
      <c r="H9" s="13">
        <v>10</v>
      </c>
      <c r="I9" s="13">
        <v>15</v>
      </c>
      <c r="J9" s="13">
        <v>131.21</v>
      </c>
      <c r="K9" s="39">
        <f>J9*I9</f>
        <v>1968.15</v>
      </c>
      <c r="L9" s="39">
        <f>K9*H9</f>
        <v>19681.5</v>
      </c>
      <c r="M9" s="39">
        <f>1998.38+393.63</f>
        <v>2392.0100000000002</v>
      </c>
      <c r="N9" s="22">
        <v>3312</v>
      </c>
      <c r="O9" s="13">
        <v>0</v>
      </c>
      <c r="P9" s="13">
        <v>282.5</v>
      </c>
      <c r="Q9" s="92"/>
      <c r="R9" s="49">
        <f>P9+N9+M9+L9</f>
        <v>25668.010000000002</v>
      </c>
      <c r="S9" s="13"/>
      <c r="T9" s="28">
        <v>2668.5</v>
      </c>
      <c r="U9" s="27">
        <v>625</v>
      </c>
      <c r="V9" s="27">
        <v>3301</v>
      </c>
      <c r="W9" s="31">
        <f t="shared" ref="W9:W25" si="0">V9+U9+T9+R9</f>
        <v>32262.510000000002</v>
      </c>
      <c r="X9" s="32">
        <f>W9/10</f>
        <v>3226.2510000000002</v>
      </c>
      <c r="Y9" s="115"/>
    </row>
    <row r="10" spans="1:25">
      <c r="A10" s="24"/>
      <c r="B10" s="24"/>
      <c r="C10" s="24"/>
      <c r="D10" s="24"/>
      <c r="E10" s="24"/>
      <c r="F10" s="24"/>
      <c r="G10" s="25"/>
      <c r="H10" s="24"/>
      <c r="I10" s="24"/>
      <c r="J10" s="24"/>
      <c r="K10" s="40"/>
      <c r="L10" s="40"/>
      <c r="M10" s="40"/>
      <c r="N10" s="36"/>
      <c r="O10" s="24"/>
      <c r="P10" s="24"/>
      <c r="Q10" s="24"/>
      <c r="R10" s="24"/>
      <c r="S10" s="24"/>
      <c r="T10" s="24"/>
      <c r="U10" s="24"/>
      <c r="V10" s="24"/>
      <c r="W10" s="42">
        <f>SUM(W8:W9)</f>
        <v>45006.350000000006</v>
      </c>
      <c r="X10" s="24"/>
      <c r="Y10" s="24"/>
    </row>
    <row r="11" spans="1:25">
      <c r="A11" s="13"/>
      <c r="B11" s="13"/>
      <c r="C11" s="13"/>
      <c r="D11" s="13"/>
      <c r="E11" s="13"/>
      <c r="F11" s="13"/>
      <c r="G11" s="19"/>
      <c r="H11" s="13"/>
      <c r="I11" s="13"/>
      <c r="J11" s="13"/>
      <c r="K11" s="39"/>
      <c r="L11" s="39"/>
      <c r="M11" s="39"/>
      <c r="N11" s="22"/>
      <c r="O11" s="13"/>
      <c r="P11" s="13"/>
      <c r="Q11" s="13"/>
      <c r="R11" s="13"/>
      <c r="S11" s="13"/>
      <c r="T11" s="13"/>
      <c r="U11" s="13"/>
      <c r="V11" s="13"/>
      <c r="W11" s="31"/>
      <c r="X11" s="13"/>
      <c r="Y11" s="113">
        <f>65+21395+17785+5456+49.4+65+520</f>
        <v>45335.4</v>
      </c>
    </row>
    <row r="12" spans="1:25">
      <c r="A12" s="13">
        <v>2</v>
      </c>
      <c r="B12" s="13" t="s">
        <v>39</v>
      </c>
      <c r="C12" s="13" t="s">
        <v>26</v>
      </c>
      <c r="D12" s="33" t="s">
        <v>40</v>
      </c>
      <c r="E12" s="13" t="s">
        <v>41</v>
      </c>
      <c r="F12" s="13">
        <v>8543709990</v>
      </c>
      <c r="G12" s="19" t="s">
        <v>44</v>
      </c>
      <c r="H12" s="13">
        <v>5</v>
      </c>
      <c r="I12" s="13">
        <v>205</v>
      </c>
      <c r="J12" s="13">
        <v>131.21</v>
      </c>
      <c r="K12" s="39">
        <f>J12*I12</f>
        <v>26898.050000000003</v>
      </c>
      <c r="L12" s="39">
        <f>K12*H12</f>
        <v>134490.25</v>
      </c>
      <c r="M12" s="39">
        <f>12419.03+2702.93</f>
        <v>15121.960000000001</v>
      </c>
      <c r="N12" s="22">
        <v>0</v>
      </c>
      <c r="O12" s="13">
        <v>14962</v>
      </c>
      <c r="P12" s="13">
        <v>188.33</v>
      </c>
      <c r="Q12" s="116">
        <f>P12+P13+P14+O12+N13+N14+M12+M13+M14+L12+L13+L14</f>
        <v>343909.25</v>
      </c>
      <c r="R12" s="13">
        <f>P12+O12+M12+L12</f>
        <v>164762.54</v>
      </c>
      <c r="S12" s="13"/>
      <c r="T12" s="13">
        <v>1877</v>
      </c>
      <c r="U12" s="13">
        <v>551</v>
      </c>
      <c r="V12" s="13">
        <v>21395</v>
      </c>
      <c r="W12" s="31">
        <f t="shared" si="0"/>
        <v>188585.54</v>
      </c>
      <c r="X12" s="13">
        <f>W12/H12</f>
        <v>37717.108</v>
      </c>
      <c r="Y12" s="114"/>
    </row>
    <row r="13" spans="1:25">
      <c r="A13" s="13"/>
      <c r="B13" s="13"/>
      <c r="C13" s="13"/>
      <c r="D13" s="13"/>
      <c r="E13" s="13" t="s">
        <v>42</v>
      </c>
      <c r="F13" s="13"/>
      <c r="G13" s="19" t="s">
        <v>45</v>
      </c>
      <c r="H13" s="13">
        <v>1</v>
      </c>
      <c r="I13" s="13">
        <v>815</v>
      </c>
      <c r="J13" s="13">
        <v>131.21</v>
      </c>
      <c r="K13" s="39">
        <f t="shared" ref="K13:K14" si="1">J13*I13</f>
        <v>106936.15000000001</v>
      </c>
      <c r="L13" s="39">
        <f t="shared" ref="L13:L14" si="2">K13*H13</f>
        <v>106936.15000000001</v>
      </c>
      <c r="M13" s="39">
        <f>9874.86+2149.22</f>
        <v>12024.08</v>
      </c>
      <c r="N13" s="22">
        <v>17845</v>
      </c>
      <c r="O13" s="13">
        <v>0</v>
      </c>
      <c r="P13" s="13">
        <v>188.33</v>
      </c>
      <c r="Q13" s="117"/>
      <c r="R13" s="22">
        <f>P13+N13+M13+L13</f>
        <v>136993.56</v>
      </c>
      <c r="S13" s="13"/>
      <c r="T13" s="13">
        <v>1877</v>
      </c>
      <c r="U13" s="13">
        <v>551</v>
      </c>
      <c r="V13" s="13">
        <v>17785</v>
      </c>
      <c r="W13" s="31">
        <f t="shared" si="0"/>
        <v>157206.56</v>
      </c>
      <c r="X13" s="13">
        <f t="shared" ref="X13:X14" si="3">W13/H13</f>
        <v>157206.56</v>
      </c>
      <c r="Y13" s="114"/>
    </row>
    <row r="14" spans="1:25">
      <c r="A14" s="13"/>
      <c r="B14" s="13"/>
      <c r="C14" s="13"/>
      <c r="D14" s="13"/>
      <c r="E14" s="13" t="s">
        <v>43</v>
      </c>
      <c r="F14" s="13"/>
      <c r="G14" s="19" t="s">
        <v>46</v>
      </c>
      <c r="H14" s="13">
        <v>1</v>
      </c>
      <c r="I14" s="13">
        <v>250</v>
      </c>
      <c r="J14" s="13">
        <v>131.21</v>
      </c>
      <c r="K14" s="39">
        <f t="shared" si="1"/>
        <v>32802.5</v>
      </c>
      <c r="L14" s="39">
        <f t="shared" si="2"/>
        <v>32802.5</v>
      </c>
      <c r="M14" s="39">
        <f>3029.64+658.67</f>
        <v>3688.31</v>
      </c>
      <c r="N14" s="22">
        <v>5474</v>
      </c>
      <c r="O14" s="13">
        <v>0</v>
      </c>
      <c r="P14" s="13">
        <v>188.34</v>
      </c>
      <c r="Q14" s="118"/>
      <c r="R14" s="22">
        <f>P14+N14+M14+L14</f>
        <v>42153.15</v>
      </c>
      <c r="S14" s="13"/>
      <c r="T14" s="13">
        <v>1876</v>
      </c>
      <c r="U14" s="13">
        <v>551</v>
      </c>
      <c r="V14" s="13">
        <v>5456</v>
      </c>
      <c r="W14" s="31">
        <f t="shared" si="0"/>
        <v>50036.15</v>
      </c>
      <c r="X14" s="13">
        <f t="shared" si="3"/>
        <v>50036.15</v>
      </c>
      <c r="Y14" s="115"/>
    </row>
    <row r="15" spans="1:25">
      <c r="A15" s="24"/>
      <c r="B15" s="24"/>
      <c r="C15" s="24"/>
      <c r="D15" s="24"/>
      <c r="E15" s="24"/>
      <c r="F15" s="24"/>
      <c r="G15" s="25"/>
      <c r="H15" s="24"/>
      <c r="I15" s="24"/>
      <c r="J15" s="24"/>
      <c r="K15" s="40"/>
      <c r="L15" s="40"/>
      <c r="M15" s="40"/>
      <c r="N15" s="36"/>
      <c r="O15" s="24"/>
      <c r="P15" s="24"/>
      <c r="Q15" s="24"/>
      <c r="R15" s="24"/>
      <c r="S15" s="24"/>
      <c r="T15" s="24"/>
      <c r="U15" s="24"/>
      <c r="V15" s="24"/>
      <c r="W15" s="42">
        <f>SUM(W12:W14)</f>
        <v>395828.25</v>
      </c>
      <c r="X15" s="24"/>
      <c r="Y15" s="24"/>
    </row>
    <row r="16" spans="1:25">
      <c r="A16" s="13"/>
      <c r="B16" s="13"/>
      <c r="C16" s="13"/>
      <c r="D16" s="13"/>
      <c r="E16" s="13"/>
      <c r="F16" s="13"/>
      <c r="G16" s="19"/>
      <c r="H16" s="13"/>
      <c r="I16" s="13"/>
      <c r="J16" s="13"/>
      <c r="K16" s="39"/>
      <c r="L16" s="39"/>
      <c r="M16" s="39"/>
      <c r="N16" s="22"/>
      <c r="O16" s="13"/>
      <c r="P16" s="13"/>
      <c r="Q16" s="13"/>
      <c r="R16" s="13"/>
      <c r="S16" s="13"/>
      <c r="T16" s="13"/>
      <c r="U16" s="13"/>
      <c r="V16" s="13"/>
      <c r="W16" s="31"/>
      <c r="X16" s="13"/>
      <c r="Y16" s="13"/>
    </row>
    <row r="17" spans="1:25">
      <c r="A17" s="13">
        <v>3</v>
      </c>
      <c r="B17" s="13" t="s">
        <v>39</v>
      </c>
      <c r="C17" s="13" t="s">
        <v>26</v>
      </c>
      <c r="D17" s="13" t="s">
        <v>47</v>
      </c>
      <c r="E17" s="13" t="s">
        <v>52</v>
      </c>
      <c r="F17" s="13">
        <v>85359000</v>
      </c>
      <c r="G17" s="19" t="s">
        <v>48</v>
      </c>
      <c r="H17" s="13">
        <v>5</v>
      </c>
      <c r="I17" s="13">
        <v>340</v>
      </c>
      <c r="J17" s="13">
        <v>131.21</v>
      </c>
      <c r="K17" s="39">
        <f>J17*I17</f>
        <v>44611.4</v>
      </c>
      <c r="L17" s="39">
        <f>K17*H17</f>
        <v>223057</v>
      </c>
      <c r="M17" s="39">
        <f>3810.05+4500.5</f>
        <v>8310.5499999999993</v>
      </c>
      <c r="N17" s="22">
        <v>34706</v>
      </c>
      <c r="O17" s="13">
        <v>0</v>
      </c>
      <c r="P17" s="13">
        <v>188.33</v>
      </c>
      <c r="Q17" s="90">
        <f>P17+P18+P19+O18+N17+N19+M17+M18+M19+L17+L18+L19</f>
        <v>516244.69</v>
      </c>
      <c r="R17" s="22">
        <f>P17+N17+M17+L17</f>
        <v>266261.88</v>
      </c>
      <c r="S17" s="13"/>
      <c r="T17" s="13">
        <v>1797</v>
      </c>
      <c r="U17" s="13">
        <v>677</v>
      </c>
      <c r="V17" s="13">
        <v>34590</v>
      </c>
      <c r="W17" s="31">
        <f t="shared" si="0"/>
        <v>303325.88</v>
      </c>
      <c r="X17" s="22">
        <f>W17/H17</f>
        <v>60665.175999999999</v>
      </c>
      <c r="Y17" s="113">
        <f>65+34590+26752+5698+21.86+65+520</f>
        <v>67711.86</v>
      </c>
    </row>
    <row r="18" spans="1:25">
      <c r="A18" s="13"/>
      <c r="B18" s="13"/>
      <c r="C18" s="13"/>
      <c r="D18" s="13"/>
      <c r="E18" s="13" t="s">
        <v>51</v>
      </c>
      <c r="F18" s="13">
        <v>8537109090</v>
      </c>
      <c r="G18" s="19" t="s">
        <v>49</v>
      </c>
      <c r="H18" s="13">
        <v>3</v>
      </c>
      <c r="I18" s="13">
        <v>480</v>
      </c>
      <c r="J18" s="13">
        <v>131.21</v>
      </c>
      <c r="K18" s="39">
        <f t="shared" ref="K18:K19" si="4">J18*I18</f>
        <v>62980.800000000003</v>
      </c>
      <c r="L18" s="39">
        <f t="shared" ref="L18:L19" si="5">K18*H18</f>
        <v>188942.40000000002</v>
      </c>
      <c r="M18" s="39">
        <f>3227.33+3811.65</f>
        <v>7038.98</v>
      </c>
      <c r="N18" s="22">
        <v>0</v>
      </c>
      <c r="O18" s="13">
        <v>9800</v>
      </c>
      <c r="P18" s="13">
        <v>188.33</v>
      </c>
      <c r="Q18" s="114"/>
      <c r="R18" s="22">
        <f>P18+O18+N18+M18+L18</f>
        <v>205969.71000000002</v>
      </c>
      <c r="S18" s="13"/>
      <c r="T18" s="13">
        <v>1797</v>
      </c>
      <c r="U18" s="13">
        <v>676</v>
      </c>
      <c r="V18" s="13">
        <v>26752</v>
      </c>
      <c r="W18" s="31">
        <f t="shared" si="0"/>
        <v>235194.71000000002</v>
      </c>
      <c r="X18" s="22">
        <f t="shared" ref="X18:X19" si="6">W18/H18</f>
        <v>78398.236666666679</v>
      </c>
      <c r="Y18" s="114"/>
    </row>
    <row r="19" spans="1:25">
      <c r="A19" s="13"/>
      <c r="B19" s="13"/>
      <c r="C19" s="13"/>
      <c r="D19" s="13"/>
      <c r="E19" s="13" t="s">
        <v>52</v>
      </c>
      <c r="F19" s="13">
        <v>8537109090</v>
      </c>
      <c r="G19" s="19" t="s">
        <v>50</v>
      </c>
      <c r="H19" s="13">
        <v>1</v>
      </c>
      <c r="I19" s="13">
        <v>280</v>
      </c>
      <c r="J19" s="13">
        <v>131.21</v>
      </c>
      <c r="K19" s="39">
        <f t="shared" si="4"/>
        <v>36738.800000000003</v>
      </c>
      <c r="L19" s="39">
        <f t="shared" si="5"/>
        <v>36738.800000000003</v>
      </c>
      <c r="M19" s="39">
        <f>627.62+741.34</f>
        <v>1368.96</v>
      </c>
      <c r="N19" s="22">
        <v>5717</v>
      </c>
      <c r="O19" s="13">
        <v>0</v>
      </c>
      <c r="P19" s="13">
        <v>188.34</v>
      </c>
      <c r="Q19" s="115"/>
      <c r="R19" s="22">
        <f t="shared" ref="R19" si="7">P19+N19+M19+L19</f>
        <v>44013.100000000006</v>
      </c>
      <c r="S19" s="13"/>
      <c r="T19" s="13">
        <v>1796</v>
      </c>
      <c r="U19" s="13">
        <v>676</v>
      </c>
      <c r="V19" s="13">
        <v>5698</v>
      </c>
      <c r="W19" s="31">
        <f t="shared" si="0"/>
        <v>52183.100000000006</v>
      </c>
      <c r="X19" s="22">
        <f t="shared" si="6"/>
        <v>52183.100000000006</v>
      </c>
      <c r="Y19" s="115"/>
    </row>
    <row r="20" spans="1:25">
      <c r="A20" s="24"/>
      <c r="B20" s="24"/>
      <c r="C20" s="24"/>
      <c r="D20" s="24"/>
      <c r="E20" s="24"/>
      <c r="F20" s="24"/>
      <c r="G20" s="25"/>
      <c r="H20" s="24"/>
      <c r="I20" s="24"/>
      <c r="J20" s="24"/>
      <c r="K20" s="40"/>
      <c r="L20" s="40"/>
      <c r="M20" s="40"/>
      <c r="N20" s="36"/>
      <c r="O20" s="24"/>
      <c r="P20" s="24"/>
      <c r="Q20" s="24"/>
      <c r="R20" s="24"/>
      <c r="S20" s="24"/>
      <c r="T20" s="24"/>
      <c r="U20" s="24"/>
      <c r="V20" s="24"/>
      <c r="W20" s="42">
        <f>SUM(W17:W19)</f>
        <v>590703.69000000006</v>
      </c>
      <c r="X20" s="24"/>
      <c r="Y20" s="24"/>
    </row>
    <row r="21" spans="1:25">
      <c r="A21" s="13"/>
      <c r="B21" s="13"/>
      <c r="C21" s="13"/>
      <c r="D21" s="13"/>
      <c r="E21" s="13"/>
      <c r="F21" s="13"/>
      <c r="G21" s="19"/>
      <c r="H21" s="13"/>
      <c r="I21" s="13"/>
      <c r="J21" s="13"/>
      <c r="K21" s="39"/>
      <c r="L21" s="39"/>
      <c r="M21" s="39"/>
      <c r="N21" s="22"/>
      <c r="O21" s="13"/>
      <c r="P21" s="13"/>
      <c r="Q21" s="13"/>
      <c r="R21" s="13"/>
      <c r="S21" s="13"/>
      <c r="T21" s="13"/>
      <c r="U21" s="13"/>
      <c r="V21" s="13"/>
      <c r="W21" s="31"/>
      <c r="X21" s="13"/>
      <c r="Y21" s="13"/>
    </row>
    <row r="22" spans="1:25">
      <c r="A22" s="13">
        <v>4</v>
      </c>
      <c r="B22" s="13" t="s">
        <v>39</v>
      </c>
      <c r="C22" s="13" t="s">
        <v>26</v>
      </c>
      <c r="D22" s="13" t="s">
        <v>53</v>
      </c>
      <c r="E22" s="13" t="s">
        <v>54</v>
      </c>
      <c r="F22" s="13">
        <v>8543709990</v>
      </c>
      <c r="G22" s="19" t="s">
        <v>58</v>
      </c>
      <c r="H22" s="13">
        <v>10</v>
      </c>
      <c r="I22" s="13">
        <v>29.43</v>
      </c>
      <c r="J22" s="13">
        <v>131.21</v>
      </c>
      <c r="K22" s="39">
        <f>J22*I22</f>
        <v>3861.5103000000004</v>
      </c>
      <c r="L22" s="39">
        <f>K22*H22</f>
        <v>38615.103000000003</v>
      </c>
      <c r="M22" s="39">
        <f>1137.89+808.25+757.08</f>
        <v>2703.2200000000003</v>
      </c>
      <c r="N22" s="22">
        <v>2066</v>
      </c>
      <c r="O22" s="13">
        <v>2170</v>
      </c>
      <c r="P22" s="13">
        <v>141.25</v>
      </c>
      <c r="Q22" s="90">
        <f>P22+P23+P24+P25+O22+O23+O24+O25+N22+N23+N24+N25+M22+M23+M24+M25+L22+L23+L24+L25</f>
        <v>119444.98700000002</v>
      </c>
      <c r="R22" s="22">
        <f>P22+O22+N22+M22+L22</f>
        <v>45695.573000000004</v>
      </c>
      <c r="S22" s="13"/>
      <c r="T22" s="13">
        <v>2344</v>
      </c>
      <c r="U22" s="13">
        <v>312.5</v>
      </c>
      <c r="V22" s="13">
        <v>5923</v>
      </c>
      <c r="W22" s="31">
        <f t="shared" si="0"/>
        <v>54275.073000000004</v>
      </c>
      <c r="X22" s="22">
        <f>W22/H22</f>
        <v>5427.5073000000002</v>
      </c>
      <c r="Y22" s="113">
        <f>65+5923+5923+1995+1617+15.73+65+715</f>
        <v>16318.73</v>
      </c>
    </row>
    <row r="23" spans="1:25">
      <c r="A23" s="13"/>
      <c r="B23" s="13"/>
      <c r="C23" s="13"/>
      <c r="D23" s="13"/>
      <c r="E23" s="13" t="s">
        <v>55</v>
      </c>
      <c r="F23" s="13">
        <v>8543709990</v>
      </c>
      <c r="G23" s="19" t="s">
        <v>59</v>
      </c>
      <c r="H23" s="13">
        <v>10</v>
      </c>
      <c r="I23" s="13">
        <v>29.43</v>
      </c>
      <c r="J23" s="13">
        <v>131.21</v>
      </c>
      <c r="K23" s="39">
        <f t="shared" ref="K23:K25" si="8">J23*I23</f>
        <v>3861.5103000000004</v>
      </c>
      <c r="L23" s="39">
        <f t="shared" ref="L23:L25" si="9">K23*H23</f>
        <v>38615.103000000003</v>
      </c>
      <c r="M23" s="39">
        <f>1137.89+808.25+757.08</f>
        <v>2703.2200000000003</v>
      </c>
      <c r="N23" s="22">
        <v>2066</v>
      </c>
      <c r="O23" s="13">
        <v>2170</v>
      </c>
      <c r="P23" s="13">
        <v>141.25</v>
      </c>
      <c r="Q23" s="114"/>
      <c r="R23" s="22">
        <f t="shared" ref="R23:R25" si="10">P23+O23+N23+M23+L23</f>
        <v>45695.573000000004</v>
      </c>
      <c r="S23" s="13"/>
      <c r="T23" s="13">
        <v>2344</v>
      </c>
      <c r="U23" s="13">
        <v>312.5</v>
      </c>
      <c r="V23" s="13">
        <v>5923</v>
      </c>
      <c r="W23" s="31">
        <f t="shared" si="0"/>
        <v>54275.073000000004</v>
      </c>
      <c r="X23" s="22">
        <f t="shared" ref="X23:X25" si="11">W23/H23</f>
        <v>5427.5073000000002</v>
      </c>
      <c r="Y23" s="114"/>
    </row>
    <row r="24" spans="1:25">
      <c r="A24" s="13"/>
      <c r="B24" s="13"/>
      <c r="C24" s="13"/>
      <c r="D24" s="13"/>
      <c r="E24" s="13" t="s">
        <v>56</v>
      </c>
      <c r="F24" s="13">
        <v>8471800000</v>
      </c>
      <c r="G24" s="19" t="s">
        <v>60</v>
      </c>
      <c r="H24" s="13">
        <v>5</v>
      </c>
      <c r="I24" s="13">
        <v>19.82</v>
      </c>
      <c r="J24" s="13">
        <v>131.21</v>
      </c>
      <c r="K24" s="39">
        <f t="shared" si="8"/>
        <v>2600.5822000000003</v>
      </c>
      <c r="L24" s="39">
        <f t="shared" si="9"/>
        <v>13002.911000000002</v>
      </c>
      <c r="M24" s="39">
        <f>383.07+271.6+254.55</f>
        <v>909.22</v>
      </c>
      <c r="N24" s="22">
        <v>696</v>
      </c>
      <c r="O24" s="13">
        <v>731</v>
      </c>
      <c r="P24" s="13">
        <v>141.25</v>
      </c>
      <c r="Q24" s="114"/>
      <c r="R24" s="22">
        <f t="shared" si="10"/>
        <v>15480.381000000001</v>
      </c>
      <c r="S24" s="13"/>
      <c r="T24" s="13">
        <v>1172</v>
      </c>
      <c r="U24" s="13">
        <v>312.5</v>
      </c>
      <c r="V24" s="13">
        <v>1995</v>
      </c>
      <c r="W24" s="31">
        <f t="shared" si="0"/>
        <v>18959.881000000001</v>
      </c>
      <c r="X24" s="22">
        <f t="shared" si="11"/>
        <v>3791.9762000000001</v>
      </c>
      <c r="Y24" s="114"/>
    </row>
    <row r="25" spans="1:25">
      <c r="A25" s="13"/>
      <c r="B25" s="13"/>
      <c r="C25" s="13"/>
      <c r="D25" s="13"/>
      <c r="E25" s="13" t="s">
        <v>57</v>
      </c>
      <c r="F25" s="13">
        <v>8543709990</v>
      </c>
      <c r="G25" s="19" t="s">
        <v>61</v>
      </c>
      <c r="H25" s="13">
        <v>5</v>
      </c>
      <c r="I25" s="13">
        <v>15.4</v>
      </c>
      <c r="J25" s="13">
        <v>131.21</v>
      </c>
      <c r="K25" s="39">
        <f t="shared" si="8"/>
        <v>2020.6340000000002</v>
      </c>
      <c r="L25" s="39">
        <f t="shared" si="9"/>
        <v>10103.170000000002</v>
      </c>
      <c r="M25" s="39">
        <f>297.66+211.25+198.13</f>
        <v>707.04</v>
      </c>
      <c r="N25" s="22">
        <v>1622</v>
      </c>
      <c r="O25" s="13">
        <v>0</v>
      </c>
      <c r="P25" s="13">
        <v>141.25</v>
      </c>
      <c r="Q25" s="115"/>
      <c r="R25" s="22">
        <f t="shared" si="10"/>
        <v>12573.460000000003</v>
      </c>
      <c r="S25" s="13"/>
      <c r="T25" s="13">
        <v>1172</v>
      </c>
      <c r="U25" s="13">
        <v>312.5</v>
      </c>
      <c r="V25" s="13">
        <v>1617</v>
      </c>
      <c r="W25" s="31">
        <f t="shared" si="0"/>
        <v>15674.960000000003</v>
      </c>
      <c r="X25" s="22">
        <f t="shared" si="11"/>
        <v>3134.9920000000006</v>
      </c>
      <c r="Y25" s="115"/>
    </row>
    <row r="26" spans="1:25">
      <c r="A26" s="24"/>
      <c r="B26" s="24"/>
      <c r="C26" s="24"/>
      <c r="D26" s="24"/>
      <c r="E26" s="24"/>
      <c r="F26" s="24"/>
      <c r="G26" s="25"/>
      <c r="H26" s="24"/>
      <c r="I26" s="24"/>
      <c r="J26" s="24"/>
      <c r="K26" s="40"/>
      <c r="L26" s="40"/>
      <c r="M26" s="40"/>
      <c r="N26" s="36"/>
      <c r="O26" s="24"/>
      <c r="P26" s="24"/>
      <c r="Q26" s="24"/>
      <c r="R26" s="24"/>
      <c r="S26" s="24"/>
      <c r="T26" s="24"/>
      <c r="U26" s="24"/>
      <c r="V26" s="24"/>
      <c r="W26" s="36">
        <f>SUM(W22:W25)</f>
        <v>143184.98699999999</v>
      </c>
      <c r="X26" s="24"/>
      <c r="Y26" s="24"/>
    </row>
    <row r="27" spans="1:25">
      <c r="A27" s="13"/>
      <c r="B27" s="13"/>
      <c r="C27" s="13"/>
      <c r="D27" s="13"/>
      <c r="E27" s="13"/>
      <c r="F27" s="13"/>
      <c r="G27" s="19"/>
      <c r="H27" s="13"/>
      <c r="I27" s="13"/>
      <c r="J27" s="13"/>
      <c r="K27" s="39"/>
      <c r="L27" s="39"/>
      <c r="M27" s="39"/>
      <c r="N27" s="22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>
      <c r="A28" s="13">
        <v>5</v>
      </c>
      <c r="B28" s="13" t="s">
        <v>65</v>
      </c>
      <c r="C28" s="13" t="s">
        <v>66</v>
      </c>
      <c r="D28" s="13" t="s">
        <v>67</v>
      </c>
      <c r="E28" s="13" t="s">
        <v>68</v>
      </c>
      <c r="F28" s="13">
        <v>85044000</v>
      </c>
      <c r="G28" s="19" t="s">
        <v>71</v>
      </c>
      <c r="H28" s="13">
        <v>3</v>
      </c>
      <c r="I28" s="13">
        <v>737</v>
      </c>
      <c r="J28" s="13">
        <v>131.91999999999999</v>
      </c>
      <c r="K28" s="39">
        <f>J28*I28</f>
        <v>97225.04</v>
      </c>
      <c r="L28" s="39">
        <f>K28*H28</f>
        <v>291675.12</v>
      </c>
      <c r="M28" s="39">
        <f>20377.68+5903.42</f>
        <v>26281.1</v>
      </c>
      <c r="N28" s="22">
        <v>47694</v>
      </c>
      <c r="O28" s="13">
        <v>0</v>
      </c>
      <c r="P28" s="13">
        <v>188.33</v>
      </c>
      <c r="Q28" s="90">
        <f>P28+P29+P30+N28+N29+N30+M28+M29+M30+L28+L29+L30</f>
        <v>597083.76</v>
      </c>
      <c r="R28" s="22">
        <f>P28+N28+M28+L28</f>
        <v>365838.55</v>
      </c>
      <c r="S28" s="13"/>
      <c r="T28" s="13">
        <v>3314.5</v>
      </c>
      <c r="U28" s="13">
        <v>724.8</v>
      </c>
      <c r="V28" s="13">
        <v>47535</v>
      </c>
      <c r="W28" s="22">
        <f>V28+U28+T28+R28</f>
        <v>417412.85</v>
      </c>
      <c r="X28" s="22">
        <f>W28/H28</f>
        <v>139137.61666666667</v>
      </c>
      <c r="Y28" s="113">
        <f>65+47535+23155+6859+31.46+65+780</f>
        <v>78490.460000000006</v>
      </c>
    </row>
    <row r="29" spans="1:25">
      <c r="A29" s="13"/>
      <c r="B29" s="13"/>
      <c r="C29" s="13"/>
      <c r="D29" s="13"/>
      <c r="E29" s="13" t="s">
        <v>69</v>
      </c>
      <c r="F29" s="13">
        <v>85044000</v>
      </c>
      <c r="G29" s="19" t="s">
        <v>72</v>
      </c>
      <c r="H29" s="13">
        <v>3</v>
      </c>
      <c r="I29" s="13">
        <v>359</v>
      </c>
      <c r="J29" s="13">
        <v>131.91999999999999</v>
      </c>
      <c r="K29" s="39">
        <f t="shared" ref="K29:K30" si="12">J29*I29</f>
        <v>47359.28</v>
      </c>
      <c r="L29" s="39">
        <f t="shared" ref="L29:L30" si="13">K29*H29</f>
        <v>142077.84</v>
      </c>
      <c r="M29" s="39">
        <f>9925.66+2875.86</f>
        <v>12801.52</v>
      </c>
      <c r="N29" s="22">
        <v>23232</v>
      </c>
      <c r="O29" s="13">
        <v>0</v>
      </c>
      <c r="P29" s="13">
        <v>188.33</v>
      </c>
      <c r="Q29" s="114"/>
      <c r="R29" s="22">
        <f>P29+N29+M29+L29</f>
        <v>178299.69</v>
      </c>
      <c r="S29" s="13"/>
      <c r="T29" s="13">
        <v>3314.5</v>
      </c>
      <c r="U29" s="13">
        <v>724.8</v>
      </c>
      <c r="V29" s="13">
        <v>23155</v>
      </c>
      <c r="W29" s="22">
        <f t="shared" ref="W29:W30" si="14">V29+U29+T29+R29</f>
        <v>205493.99</v>
      </c>
      <c r="X29" s="22">
        <f t="shared" ref="X29:X30" si="15">W29/H29</f>
        <v>68497.996666666659</v>
      </c>
      <c r="Y29" s="114"/>
    </row>
    <row r="30" spans="1:25">
      <c r="A30" s="13"/>
      <c r="B30" s="13"/>
      <c r="C30" s="13"/>
      <c r="D30" s="13"/>
      <c r="E30" s="13" t="s">
        <v>70</v>
      </c>
      <c r="F30" s="13">
        <v>85044000</v>
      </c>
      <c r="G30" s="19" t="s">
        <v>73</v>
      </c>
      <c r="H30" s="13">
        <v>1</v>
      </c>
      <c r="I30" s="13">
        <v>319</v>
      </c>
      <c r="J30" s="13">
        <v>131.91999999999999</v>
      </c>
      <c r="K30" s="39">
        <f t="shared" si="12"/>
        <v>42082.479999999996</v>
      </c>
      <c r="L30" s="39">
        <f t="shared" si="13"/>
        <v>42082.479999999996</v>
      </c>
      <c r="M30" s="39">
        <f>2940.5+852.2</f>
        <v>3792.7</v>
      </c>
      <c r="N30" s="22">
        <v>6882</v>
      </c>
      <c r="O30" s="13">
        <v>0</v>
      </c>
      <c r="P30" s="13">
        <v>188.34</v>
      </c>
      <c r="Q30" s="115"/>
      <c r="R30" s="22">
        <f>P30+N30+M30+L30</f>
        <v>52945.52</v>
      </c>
      <c r="S30" s="13"/>
      <c r="T30" s="13">
        <v>1105</v>
      </c>
      <c r="U30" s="13">
        <v>724.8</v>
      </c>
      <c r="V30" s="13">
        <v>6859</v>
      </c>
      <c r="W30" s="22">
        <f t="shared" si="14"/>
        <v>61634.319999999992</v>
      </c>
      <c r="X30" s="22">
        <f t="shared" si="15"/>
        <v>61634.319999999992</v>
      </c>
      <c r="Y30" s="115"/>
    </row>
    <row r="31" spans="1:25">
      <c r="A31" s="73"/>
      <c r="B31" s="73"/>
      <c r="C31" s="73"/>
      <c r="D31" s="73"/>
      <c r="E31" s="73"/>
      <c r="F31" s="73"/>
      <c r="G31" s="74"/>
      <c r="H31" s="73"/>
      <c r="I31" s="73"/>
      <c r="J31" s="73"/>
      <c r="K31" s="75"/>
      <c r="L31" s="75"/>
      <c r="M31" s="75"/>
      <c r="N31" s="76"/>
      <c r="O31" s="73"/>
      <c r="P31" s="73"/>
      <c r="Q31" s="73"/>
      <c r="R31" s="73"/>
      <c r="S31" s="73"/>
      <c r="T31" s="73"/>
      <c r="U31" s="73"/>
      <c r="V31" s="73"/>
      <c r="W31" s="76">
        <f>SUM(W28:W30)</f>
        <v>684541.15999999992</v>
      </c>
      <c r="X31" s="73"/>
      <c r="Y31" s="77"/>
    </row>
    <row r="32" spans="1:25">
      <c r="A32" s="13"/>
      <c r="B32" s="13"/>
      <c r="C32" s="13"/>
      <c r="D32" s="13"/>
      <c r="E32" s="13"/>
      <c r="F32" s="13"/>
      <c r="G32" s="19"/>
      <c r="H32" s="13"/>
      <c r="I32" s="13"/>
      <c r="J32" s="13"/>
      <c r="K32" s="39"/>
      <c r="L32" s="39"/>
      <c r="M32" s="39"/>
      <c r="N32" s="22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>
      <c r="A33" s="13">
        <v>6</v>
      </c>
      <c r="B33" s="78" t="s">
        <v>95</v>
      </c>
      <c r="C33" s="13" t="s">
        <v>96</v>
      </c>
      <c r="D33" s="13" t="s">
        <v>97</v>
      </c>
      <c r="E33" s="13" t="s">
        <v>68</v>
      </c>
      <c r="F33" s="13"/>
      <c r="G33" s="19" t="s">
        <v>98</v>
      </c>
      <c r="H33" s="13">
        <v>1</v>
      </c>
      <c r="I33" s="13">
        <v>737</v>
      </c>
      <c r="J33" s="13">
        <v>133.22</v>
      </c>
      <c r="K33" s="39">
        <f t="shared" ref="K33:K35" si="16">J33*I33</f>
        <v>98183.14</v>
      </c>
      <c r="L33" s="39">
        <f t="shared" ref="L33:L35" si="17">K33*H33</f>
        <v>98183.14</v>
      </c>
      <c r="M33" s="39">
        <v>9242.81</v>
      </c>
      <c r="N33" s="22">
        <v>16317</v>
      </c>
      <c r="O33" s="13">
        <v>0</v>
      </c>
      <c r="P33" s="13">
        <v>188.33</v>
      </c>
      <c r="Q33" s="90">
        <f>P33+P34+P35+P36+N33+N34+N35+N36+M33+M34+M35+M36+L33+L34+L35+L36</f>
        <v>422939.52</v>
      </c>
      <c r="R33" s="22">
        <f>P33+N33+M33+L33</f>
        <v>123931.28</v>
      </c>
      <c r="S33" s="13"/>
      <c r="T33" s="13">
        <v>1320.8</v>
      </c>
      <c r="U33" s="13">
        <v>360</v>
      </c>
      <c r="V33" s="13">
        <v>16272.8</v>
      </c>
      <c r="W33" s="22">
        <f>V33+U33+T33+R33</f>
        <v>141884.88</v>
      </c>
      <c r="X33" s="22">
        <f t="shared" ref="X33:X35" si="18">W33/H33</f>
        <v>141884.88</v>
      </c>
      <c r="Y33" s="89">
        <f>65+V33+V34+V35+65+31.46+650+V36</f>
        <v>55722.46</v>
      </c>
    </row>
    <row r="34" spans="1:25">
      <c r="A34" s="13"/>
      <c r="B34" s="78"/>
      <c r="C34" s="13"/>
      <c r="D34" s="13"/>
      <c r="E34" s="13" t="s">
        <v>100</v>
      </c>
      <c r="F34" s="13"/>
      <c r="G34" s="19" t="s">
        <v>71</v>
      </c>
      <c r="H34" s="13">
        <v>2</v>
      </c>
      <c r="I34" s="13">
        <v>98</v>
      </c>
      <c r="J34" s="13">
        <v>133.22</v>
      </c>
      <c r="K34" s="39">
        <f t="shared" si="16"/>
        <v>13055.56</v>
      </c>
      <c r="L34" s="39">
        <f t="shared" si="17"/>
        <v>26111.119999999999</v>
      </c>
      <c r="M34" s="39">
        <f>4587.94+2500</f>
        <v>7087.94</v>
      </c>
      <c r="N34" s="22">
        <v>4342</v>
      </c>
      <c r="O34" s="13">
        <v>0</v>
      </c>
      <c r="P34" s="13">
        <v>188.33</v>
      </c>
      <c r="Q34" s="91"/>
      <c r="R34" s="22">
        <f t="shared" ref="R34:R35" si="19">P34+N34+M34+L34</f>
        <v>37729.39</v>
      </c>
      <c r="S34" s="13"/>
      <c r="T34" s="13">
        <v>2641.6</v>
      </c>
      <c r="U34" s="13">
        <v>720</v>
      </c>
      <c r="V34" s="13">
        <v>4327.6000000000004</v>
      </c>
      <c r="W34" s="22">
        <f t="shared" ref="W34:W35" si="20">V34+U34+T34+R34</f>
        <v>45418.59</v>
      </c>
      <c r="X34" s="22">
        <f t="shared" si="18"/>
        <v>22709.294999999998</v>
      </c>
      <c r="Y34" s="89"/>
    </row>
    <row r="35" spans="1:25">
      <c r="A35" s="13"/>
      <c r="B35" s="78"/>
      <c r="C35" s="13"/>
      <c r="D35" s="13"/>
      <c r="E35" s="13" t="s">
        <v>68</v>
      </c>
      <c r="F35" s="13"/>
      <c r="G35" s="19" t="s">
        <v>99</v>
      </c>
      <c r="H35" s="13">
        <v>2</v>
      </c>
      <c r="I35" s="13">
        <v>777</v>
      </c>
      <c r="J35" s="13">
        <v>133.22</v>
      </c>
      <c r="K35" s="39">
        <f t="shared" si="16"/>
        <v>103511.94</v>
      </c>
      <c r="L35" s="39">
        <f t="shared" si="17"/>
        <v>207023.88</v>
      </c>
      <c r="M35" s="39">
        <v>19640.63</v>
      </c>
      <c r="N35" s="22">
        <v>34426</v>
      </c>
      <c r="O35" s="13">
        <v>0</v>
      </c>
      <c r="P35" s="13">
        <v>188.34</v>
      </c>
      <c r="Q35" s="91"/>
      <c r="R35" s="22">
        <f t="shared" si="19"/>
        <v>261278.85</v>
      </c>
      <c r="S35" s="13"/>
      <c r="T35" s="13">
        <v>2641.6</v>
      </c>
      <c r="U35" s="13">
        <v>720</v>
      </c>
      <c r="V35" s="13">
        <v>34310.6</v>
      </c>
      <c r="W35" s="22">
        <f t="shared" si="20"/>
        <v>298951.05</v>
      </c>
      <c r="X35" s="22">
        <f t="shared" si="18"/>
        <v>149475.52499999999</v>
      </c>
      <c r="Y35" s="89"/>
    </row>
    <row r="36" spans="1:25">
      <c r="A36" s="13"/>
      <c r="B36" s="13"/>
      <c r="C36" s="80"/>
      <c r="D36" s="13"/>
      <c r="E36" s="79"/>
      <c r="F36" s="13"/>
      <c r="G36" s="19"/>
      <c r="H36" s="79"/>
      <c r="I36" s="79"/>
      <c r="J36" s="13"/>
      <c r="K36" s="39"/>
      <c r="L36" s="39"/>
      <c r="M36" s="39"/>
      <c r="N36" s="22"/>
      <c r="O36" s="13">
        <v>0</v>
      </c>
      <c r="P36" s="13"/>
      <c r="Q36" s="92"/>
      <c r="R36" s="22"/>
      <c r="S36" s="13"/>
      <c r="T36" s="13"/>
      <c r="U36" s="13"/>
      <c r="V36" s="13"/>
      <c r="W36" s="22">
        <f t="shared" ref="W36" si="21">V36+U36+T36+R36</f>
        <v>0</v>
      </c>
      <c r="X36" s="22"/>
      <c r="Y36" s="89"/>
    </row>
    <row r="37" spans="1:25">
      <c r="A37" s="73"/>
      <c r="B37" s="73"/>
      <c r="C37" s="81"/>
      <c r="D37" s="73"/>
      <c r="E37" s="73"/>
      <c r="F37" s="73"/>
      <c r="G37" s="74"/>
      <c r="H37" s="73"/>
      <c r="I37" s="73"/>
      <c r="J37" s="73"/>
      <c r="K37" s="75"/>
      <c r="L37" s="75">
        <f>SUM(L33:L36)</f>
        <v>331318.14</v>
      </c>
      <c r="M37" s="75"/>
      <c r="N37" s="76"/>
      <c r="O37" s="73"/>
      <c r="P37" s="73"/>
      <c r="Q37" s="73"/>
      <c r="R37" s="73"/>
      <c r="S37" s="73"/>
      <c r="T37" s="73"/>
      <c r="U37" s="73"/>
      <c r="V37" s="73"/>
      <c r="W37" s="76">
        <f>SUM(W33:W36)</f>
        <v>486254.52</v>
      </c>
      <c r="X37" s="73"/>
      <c r="Y37" s="73"/>
    </row>
    <row r="38" spans="1:25">
      <c r="A38" s="13"/>
      <c r="B38" s="13"/>
      <c r="C38" s="80"/>
      <c r="D38" s="13"/>
      <c r="E38" s="13"/>
      <c r="F38" s="13"/>
      <c r="G38" s="19"/>
      <c r="H38" s="13"/>
      <c r="I38" s="13"/>
      <c r="J38" s="13"/>
      <c r="K38" s="39"/>
      <c r="L38" s="39"/>
      <c r="M38" s="39"/>
      <c r="N38" s="22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>
      <c r="A39" s="13"/>
      <c r="B39" s="13"/>
      <c r="C39" s="80"/>
      <c r="D39" s="13"/>
      <c r="E39" s="13"/>
      <c r="F39" s="13"/>
      <c r="G39" s="19"/>
      <c r="H39" s="13"/>
      <c r="I39" s="13"/>
      <c r="J39" s="13"/>
      <c r="K39" s="39"/>
      <c r="L39" s="39"/>
      <c r="M39" s="39"/>
      <c r="N39" s="22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>
      <c r="A40" s="13"/>
      <c r="B40" s="13"/>
      <c r="C40" s="80"/>
      <c r="D40" s="13"/>
      <c r="E40" s="13"/>
      <c r="F40" s="13"/>
      <c r="G40" s="19"/>
      <c r="H40" s="13"/>
      <c r="I40" s="13"/>
      <c r="J40" s="13"/>
      <c r="K40" s="39"/>
      <c r="L40" s="39"/>
      <c r="M40" s="39"/>
      <c r="N40" s="22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>
      <c r="A41" s="13"/>
      <c r="B41" s="13"/>
      <c r="C41" s="80"/>
      <c r="D41" s="13"/>
      <c r="E41" s="13"/>
      <c r="F41" s="13"/>
      <c r="G41" s="19"/>
      <c r="H41" s="13"/>
      <c r="I41" s="13"/>
      <c r="J41" s="13"/>
      <c r="K41" s="39"/>
      <c r="L41" s="39"/>
      <c r="M41" s="39"/>
      <c r="N41" s="22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>
      <c r="A42" s="13"/>
      <c r="B42" s="13"/>
      <c r="C42" s="80"/>
      <c r="D42" s="13"/>
      <c r="E42" s="13"/>
      <c r="F42" s="13"/>
      <c r="G42" s="19"/>
      <c r="H42" s="13"/>
      <c r="I42" s="13"/>
      <c r="J42" s="13"/>
      <c r="K42" s="39"/>
      <c r="L42" s="39"/>
      <c r="M42" s="39"/>
      <c r="N42" s="22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>
      <c r="A43" s="13"/>
      <c r="B43" s="13"/>
      <c r="C43" s="80"/>
      <c r="D43" s="13"/>
      <c r="E43" s="13"/>
      <c r="F43" s="13"/>
      <c r="G43" s="19"/>
      <c r="H43" s="13"/>
      <c r="I43" s="13"/>
      <c r="J43" s="13"/>
      <c r="K43" s="39"/>
      <c r="L43" s="39"/>
      <c r="M43" s="39"/>
      <c r="N43" s="22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>
      <c r="A44" s="13"/>
      <c r="B44" s="13"/>
    </row>
  </sheetData>
  <mergeCells count="23">
    <mergeCell ref="Y28:Y30"/>
    <mergeCell ref="Y8:Y9"/>
    <mergeCell ref="Y11:Y14"/>
    <mergeCell ref="Y17:Y19"/>
    <mergeCell ref="Q12:Q14"/>
    <mergeCell ref="Q17:Q19"/>
    <mergeCell ref="Q22:Q25"/>
    <mergeCell ref="Y33:Y36"/>
    <mergeCell ref="Q33:Q36"/>
    <mergeCell ref="Y5:Y6"/>
    <mergeCell ref="Q8:Q9"/>
    <mergeCell ref="A2:X3"/>
    <mergeCell ref="A5:A6"/>
    <mergeCell ref="B5:B6"/>
    <mergeCell ref="C5:C6"/>
    <mergeCell ref="D5:D6"/>
    <mergeCell ref="E5:E6"/>
    <mergeCell ref="H5:H6"/>
    <mergeCell ref="K5:K6"/>
    <mergeCell ref="L5:L6"/>
    <mergeCell ref="V5:V6"/>
    <mergeCell ref="Y22:Y25"/>
    <mergeCell ref="Q28:Q30"/>
  </mergeCells>
  <pageMargins left="0.7" right="0.7" top="0.75" bottom="0.75" header="0.3" footer="0.3"/>
  <pageSetup orientation="portrait" horizontalDpi="0" verticalDpi="0" r:id="rId1"/>
  <ignoredErrors>
    <ignoredError sqref="R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62"/>
  <sheetViews>
    <sheetView tabSelected="1" topLeftCell="A7" workbookViewId="0">
      <selection activeCell="F24" sqref="F24"/>
    </sheetView>
  </sheetViews>
  <sheetFormatPr defaultRowHeight="15"/>
  <cols>
    <col min="1" max="1" width="3.28515625" customWidth="1"/>
    <col min="2" max="2" width="8.85546875" style="137" customWidth="1"/>
    <col min="3" max="3" width="10.42578125" style="137" customWidth="1"/>
    <col min="4" max="4" width="24.28515625" style="137" bestFit="1" customWidth="1"/>
    <col min="5" max="5" width="7.85546875" style="144" bestFit="1" customWidth="1"/>
    <col min="6" max="6" width="37.140625" style="137" bestFit="1" customWidth="1"/>
    <col min="7" max="7" width="6.42578125" style="2" customWidth="1"/>
    <col min="8" max="8" width="11.5703125" style="55" bestFit="1" customWidth="1"/>
    <col min="9" max="9" width="13.28515625" style="55" bestFit="1" customWidth="1"/>
    <col min="10" max="10" width="11.5703125" style="55" bestFit="1" customWidth="1"/>
    <col min="11" max="11" width="13.28515625" style="55" bestFit="1" customWidth="1"/>
    <col min="12" max="12" width="16.140625" style="55" customWidth="1"/>
    <col min="13" max="13" width="20" customWidth="1"/>
  </cols>
  <sheetData>
    <row r="1" spans="1:14" ht="15.75" thickBot="1"/>
    <row r="2" spans="1:14" ht="15" customHeight="1">
      <c r="A2" s="122" t="s">
        <v>86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4"/>
    </row>
    <row r="3" spans="1:14" ht="15.75" customHeight="1" thickBot="1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7"/>
    </row>
    <row r="4" spans="1:14" ht="15.75" thickBot="1"/>
    <row r="5" spans="1:14" ht="15.75" thickBot="1">
      <c r="A5" s="84" t="s">
        <v>77</v>
      </c>
      <c r="B5" s="138" t="s">
        <v>78</v>
      </c>
      <c r="C5" s="138" t="s">
        <v>79</v>
      </c>
      <c r="D5" s="138" t="s">
        <v>3</v>
      </c>
      <c r="E5" s="145" t="s">
        <v>80</v>
      </c>
      <c r="F5" s="138" t="s">
        <v>81</v>
      </c>
      <c r="G5" s="64" t="s">
        <v>5</v>
      </c>
      <c r="H5" s="65" t="s">
        <v>82</v>
      </c>
      <c r="I5" s="65" t="s">
        <v>83</v>
      </c>
      <c r="J5" s="65" t="s">
        <v>17</v>
      </c>
      <c r="K5" s="66" t="s">
        <v>84</v>
      </c>
      <c r="L5" s="67" t="s">
        <v>85</v>
      </c>
      <c r="M5" s="86" t="s">
        <v>108</v>
      </c>
      <c r="N5" s="56"/>
    </row>
    <row r="6" spans="1:14">
      <c r="A6" s="68"/>
      <c r="B6" s="139"/>
      <c r="C6" s="139"/>
      <c r="D6" s="139"/>
      <c r="E6" s="146"/>
      <c r="F6" s="139"/>
      <c r="G6" s="69"/>
      <c r="H6" s="70"/>
      <c r="I6" s="70"/>
      <c r="J6" s="70"/>
      <c r="K6" s="70"/>
      <c r="L6" s="70"/>
      <c r="M6" s="68"/>
      <c r="N6" s="57"/>
    </row>
    <row r="7" spans="1:14">
      <c r="A7" s="68"/>
      <c r="B7" s="139" t="s">
        <v>105</v>
      </c>
      <c r="C7" s="13" t="s">
        <v>123</v>
      </c>
      <c r="D7" s="139" t="s">
        <v>106</v>
      </c>
      <c r="E7" s="146">
        <v>220</v>
      </c>
      <c r="F7" s="139" t="s">
        <v>107</v>
      </c>
      <c r="G7" s="69">
        <v>1</v>
      </c>
      <c r="H7" s="70">
        <v>3452</v>
      </c>
      <c r="I7" s="70">
        <v>3452</v>
      </c>
      <c r="J7" s="70">
        <v>448</v>
      </c>
      <c r="K7" s="70">
        <v>3900</v>
      </c>
      <c r="L7" s="85">
        <v>3900</v>
      </c>
      <c r="M7" s="68" t="s">
        <v>109</v>
      </c>
      <c r="N7" s="57"/>
    </row>
    <row r="8" spans="1:14">
      <c r="A8" s="68"/>
      <c r="B8" s="139"/>
      <c r="C8" s="139"/>
      <c r="D8" s="139"/>
      <c r="E8" s="146"/>
      <c r="F8" s="139"/>
      <c r="G8" s="69"/>
      <c r="H8" s="70"/>
      <c r="I8" s="70"/>
      <c r="J8" s="70"/>
      <c r="K8" s="70"/>
      <c r="L8" s="85"/>
      <c r="M8" s="68"/>
      <c r="N8" s="57"/>
    </row>
    <row r="9" spans="1:14">
      <c r="A9" s="68"/>
      <c r="B9" s="139"/>
      <c r="C9" s="139"/>
      <c r="D9" s="139"/>
      <c r="E9" s="146"/>
      <c r="F9" s="139"/>
      <c r="G9" s="69"/>
      <c r="H9" s="70"/>
      <c r="I9" s="70"/>
      <c r="J9" s="70"/>
      <c r="K9" s="70"/>
      <c r="L9" s="85"/>
      <c r="M9" s="68"/>
      <c r="N9" s="57"/>
    </row>
    <row r="10" spans="1:14">
      <c r="A10" s="71"/>
      <c r="B10" s="140" t="s">
        <v>87</v>
      </c>
      <c r="C10" s="140" t="s">
        <v>88</v>
      </c>
      <c r="D10" s="140" t="s">
        <v>89</v>
      </c>
      <c r="E10" s="60" t="s">
        <v>90</v>
      </c>
      <c r="F10" s="140" t="s">
        <v>91</v>
      </c>
      <c r="G10" s="60">
        <v>1</v>
      </c>
      <c r="H10" s="61">
        <v>94593.2</v>
      </c>
      <c r="I10" s="61">
        <f>H10*G10</f>
        <v>94593.2</v>
      </c>
      <c r="J10" s="61">
        <f>I10*13%</f>
        <v>12297.116</v>
      </c>
      <c r="K10" s="61">
        <f>J10+I10</f>
        <v>106890.31599999999</v>
      </c>
      <c r="L10" s="119">
        <v>124000</v>
      </c>
      <c r="M10" s="68" t="s">
        <v>114</v>
      </c>
      <c r="N10" s="57"/>
    </row>
    <row r="11" spans="1:14">
      <c r="A11" s="58"/>
      <c r="B11" s="140"/>
      <c r="C11" s="140"/>
      <c r="D11" s="140"/>
      <c r="E11" s="60"/>
      <c r="F11" s="140" t="s">
        <v>92</v>
      </c>
      <c r="G11" s="62">
        <v>1</v>
      </c>
      <c r="H11" s="63">
        <v>2839.1</v>
      </c>
      <c r="I11" s="61">
        <f t="shared" ref="I11:I16" si="0">H11*G11</f>
        <v>2839.1</v>
      </c>
      <c r="J11" s="61">
        <f t="shared" ref="J11:J16" si="1">I11*13%</f>
        <v>369.08300000000003</v>
      </c>
      <c r="K11" s="61">
        <f t="shared" ref="K11:K12" si="2">J11+I11</f>
        <v>3208.183</v>
      </c>
      <c r="L11" s="120"/>
      <c r="M11" s="13"/>
    </row>
    <row r="12" spans="1:14">
      <c r="A12" s="72"/>
      <c r="B12" s="141"/>
      <c r="C12" s="141"/>
      <c r="D12" s="141"/>
      <c r="E12" s="60"/>
      <c r="F12" s="140" t="s">
        <v>93</v>
      </c>
      <c r="G12" s="62">
        <v>2</v>
      </c>
      <c r="H12" s="63">
        <v>2732.94</v>
      </c>
      <c r="I12" s="61">
        <f t="shared" si="0"/>
        <v>5465.88</v>
      </c>
      <c r="J12" s="61">
        <f t="shared" si="1"/>
        <v>710.56440000000009</v>
      </c>
      <c r="K12" s="61">
        <f t="shared" si="2"/>
        <v>6176.4444000000003</v>
      </c>
      <c r="L12" s="120"/>
      <c r="M12" s="13"/>
    </row>
    <row r="13" spans="1:14">
      <c r="A13" s="72"/>
      <c r="B13" s="141"/>
      <c r="C13" s="141"/>
      <c r="D13" s="141"/>
      <c r="E13" s="60"/>
      <c r="F13" s="140" t="s">
        <v>94</v>
      </c>
      <c r="G13" s="62">
        <v>1</v>
      </c>
      <c r="H13" s="63">
        <v>6836.33</v>
      </c>
      <c r="I13" s="61">
        <f t="shared" si="0"/>
        <v>6836.33</v>
      </c>
      <c r="J13" s="61">
        <f t="shared" si="1"/>
        <v>888.72289999999998</v>
      </c>
      <c r="K13" s="61">
        <f>J13+I13</f>
        <v>7725.0528999999997</v>
      </c>
      <c r="L13" s="121"/>
      <c r="M13" s="13"/>
    </row>
    <row r="14" spans="1:14" s="134" customFormat="1">
      <c r="A14" s="130"/>
      <c r="B14" s="142"/>
      <c r="C14" s="142"/>
      <c r="D14" s="142"/>
      <c r="E14" s="147"/>
      <c r="F14" s="143"/>
      <c r="G14" s="131"/>
      <c r="H14" s="132"/>
      <c r="I14" s="133"/>
      <c r="J14" s="133"/>
      <c r="K14" s="133"/>
      <c r="L14" s="132"/>
      <c r="M14" s="79"/>
    </row>
    <row r="15" spans="1:14">
      <c r="A15" s="72"/>
      <c r="B15" s="141"/>
      <c r="C15" s="141"/>
      <c r="D15" s="141"/>
      <c r="E15" s="60"/>
      <c r="F15" s="140"/>
      <c r="G15" s="62"/>
      <c r="H15" s="63"/>
      <c r="I15" s="61"/>
      <c r="J15" s="61"/>
      <c r="K15" s="61"/>
      <c r="L15" s="63"/>
      <c r="M15" s="13"/>
    </row>
    <row r="16" spans="1:14">
      <c r="A16" s="72"/>
      <c r="B16" s="141" t="s">
        <v>101</v>
      </c>
      <c r="C16" s="141" t="s">
        <v>102</v>
      </c>
      <c r="D16" s="141" t="s">
        <v>103</v>
      </c>
      <c r="E16" s="60">
        <v>2</v>
      </c>
      <c r="F16" s="140" t="s">
        <v>104</v>
      </c>
      <c r="G16" s="62">
        <v>6</v>
      </c>
      <c r="H16" s="63">
        <v>1200</v>
      </c>
      <c r="I16" s="61">
        <f t="shared" si="0"/>
        <v>7200</v>
      </c>
      <c r="J16" s="61">
        <f t="shared" si="1"/>
        <v>936</v>
      </c>
      <c r="K16" s="61">
        <f t="shared" ref="K16:K17" si="3">J16+I16</f>
        <v>8136</v>
      </c>
      <c r="L16" s="63">
        <v>8136</v>
      </c>
      <c r="M16" s="13" t="s">
        <v>115</v>
      </c>
    </row>
    <row r="17" spans="1:13">
      <c r="A17" s="72"/>
      <c r="B17" s="141"/>
      <c r="C17" s="141"/>
      <c r="D17" s="141"/>
      <c r="E17" s="60"/>
      <c r="F17" s="140"/>
      <c r="G17" s="62"/>
      <c r="H17" s="63"/>
      <c r="I17" s="63"/>
      <c r="J17" s="63"/>
      <c r="K17" s="61">
        <f t="shared" si="3"/>
        <v>0</v>
      </c>
      <c r="L17" s="63"/>
      <c r="M17" s="13"/>
    </row>
    <row r="18" spans="1:13">
      <c r="A18" s="13"/>
      <c r="B18" s="139"/>
      <c r="C18" s="139"/>
      <c r="D18" s="139"/>
      <c r="E18" s="146"/>
      <c r="F18" s="139"/>
      <c r="G18" s="14"/>
      <c r="H18" s="59"/>
      <c r="I18" s="59"/>
      <c r="J18" s="59"/>
      <c r="K18" s="59"/>
      <c r="L18" s="59"/>
      <c r="M18" s="13"/>
    </row>
    <row r="19" spans="1:13" ht="15" customHeight="1">
      <c r="A19" s="13"/>
      <c r="B19" s="139" t="s">
        <v>110</v>
      </c>
      <c r="C19" s="139" t="s">
        <v>111</v>
      </c>
      <c r="D19" s="139" t="s">
        <v>112</v>
      </c>
      <c r="E19" s="146">
        <v>2665</v>
      </c>
      <c r="F19" s="139" t="s">
        <v>113</v>
      </c>
      <c r="G19" s="14">
        <v>1</v>
      </c>
      <c r="H19" s="59">
        <v>76991.149999999994</v>
      </c>
      <c r="I19" s="61">
        <f t="shared" ref="I19:I27" si="4">H19*G19</f>
        <v>76991.149999999994</v>
      </c>
      <c r="J19" s="61">
        <f t="shared" ref="J19:J27" si="5">I19*13%</f>
        <v>10008.8495</v>
      </c>
      <c r="K19" s="61">
        <f t="shared" ref="K19:K28" si="6">J19+I19</f>
        <v>86999.999499999991</v>
      </c>
      <c r="L19" s="63">
        <f>K19</f>
        <v>86999.999499999991</v>
      </c>
      <c r="M19" s="13"/>
    </row>
    <row r="20" spans="1:13" ht="15" customHeight="1">
      <c r="A20" s="13"/>
      <c r="B20" s="139"/>
      <c r="C20" s="139"/>
      <c r="D20" s="139"/>
      <c r="E20" s="146"/>
      <c r="F20" s="139"/>
      <c r="G20" s="14"/>
      <c r="H20" s="59"/>
      <c r="I20" s="61">
        <f t="shared" si="4"/>
        <v>0</v>
      </c>
      <c r="J20" s="61">
        <f t="shared" si="5"/>
        <v>0</v>
      </c>
      <c r="K20" s="61">
        <f t="shared" si="6"/>
        <v>0</v>
      </c>
      <c r="L20" s="63">
        <f t="shared" ref="L20:L22" si="7">K20</f>
        <v>0</v>
      </c>
      <c r="M20" s="13"/>
    </row>
    <row r="21" spans="1:13" s="134" customFormat="1" ht="15" customHeight="1">
      <c r="A21" s="79"/>
      <c r="B21" s="143"/>
      <c r="C21" s="143"/>
      <c r="D21" s="143"/>
      <c r="E21" s="147"/>
      <c r="F21" s="143"/>
      <c r="G21" s="131"/>
      <c r="H21" s="132"/>
      <c r="I21" s="133">
        <f t="shared" si="4"/>
        <v>0</v>
      </c>
      <c r="J21" s="133">
        <f t="shared" si="5"/>
        <v>0</v>
      </c>
      <c r="K21" s="133">
        <f t="shared" si="6"/>
        <v>0</v>
      </c>
      <c r="L21" s="132">
        <f t="shared" si="7"/>
        <v>0</v>
      </c>
      <c r="M21" s="79"/>
    </row>
    <row r="22" spans="1:13" ht="15" customHeight="1">
      <c r="A22" s="13"/>
      <c r="B22" s="139"/>
      <c r="C22" s="139"/>
      <c r="D22" s="139"/>
      <c r="E22" s="146"/>
      <c r="F22" s="139"/>
      <c r="G22" s="14"/>
      <c r="H22" s="59"/>
      <c r="I22" s="61">
        <f t="shared" si="4"/>
        <v>0</v>
      </c>
      <c r="J22" s="61">
        <f t="shared" si="5"/>
        <v>0</v>
      </c>
      <c r="K22" s="61">
        <f t="shared" si="6"/>
        <v>0</v>
      </c>
      <c r="L22" s="63">
        <f t="shared" si="7"/>
        <v>0</v>
      </c>
    </row>
    <row r="23" spans="1:13" ht="15" customHeight="1">
      <c r="A23" s="13"/>
      <c r="B23" s="139" t="s">
        <v>110</v>
      </c>
      <c r="C23" s="139" t="s">
        <v>111</v>
      </c>
      <c r="D23" s="139" t="s">
        <v>116</v>
      </c>
      <c r="E23" s="146">
        <v>71</v>
      </c>
      <c r="F23" s="139" t="s">
        <v>118</v>
      </c>
      <c r="G23" s="14">
        <v>1</v>
      </c>
      <c r="H23" s="59">
        <v>15000</v>
      </c>
      <c r="I23" s="61">
        <f t="shared" si="4"/>
        <v>15000</v>
      </c>
      <c r="J23" s="61">
        <f t="shared" si="5"/>
        <v>1950</v>
      </c>
      <c r="K23" s="61">
        <f t="shared" si="6"/>
        <v>16950</v>
      </c>
      <c r="L23" s="128">
        <f>K23+K24</f>
        <v>25425</v>
      </c>
    </row>
    <row r="24" spans="1:13" ht="15" customHeight="1">
      <c r="A24" s="13"/>
      <c r="B24" s="139"/>
      <c r="C24" s="139"/>
      <c r="D24" s="139"/>
      <c r="E24" s="146"/>
      <c r="F24" s="139" t="s">
        <v>117</v>
      </c>
      <c r="G24" s="14">
        <v>1</v>
      </c>
      <c r="H24" s="59">
        <v>7500</v>
      </c>
      <c r="I24" s="61">
        <f t="shared" si="4"/>
        <v>7500</v>
      </c>
      <c r="J24" s="61">
        <f t="shared" si="5"/>
        <v>975</v>
      </c>
      <c r="K24" s="61">
        <f t="shared" si="6"/>
        <v>8475</v>
      </c>
      <c r="L24" s="129"/>
    </row>
    <row r="25" spans="1:13" s="134" customFormat="1" ht="15" customHeight="1">
      <c r="A25" s="79"/>
      <c r="B25" s="143"/>
      <c r="C25" s="143"/>
      <c r="D25" s="143"/>
      <c r="E25" s="147"/>
      <c r="F25" s="143"/>
      <c r="G25" s="131"/>
      <c r="H25" s="132"/>
      <c r="I25" s="133">
        <f t="shared" si="4"/>
        <v>0</v>
      </c>
      <c r="J25" s="133">
        <f t="shared" si="5"/>
        <v>0</v>
      </c>
      <c r="K25" s="133">
        <f t="shared" si="6"/>
        <v>0</v>
      </c>
      <c r="L25" s="135">
        <f t="shared" ref="L25" si="8">K25+K26</f>
        <v>0</v>
      </c>
    </row>
    <row r="26" spans="1:13" ht="15.75" customHeight="1">
      <c r="A26" s="13"/>
      <c r="B26" s="139"/>
      <c r="C26" s="139"/>
      <c r="D26" s="139"/>
      <c r="E26" s="146"/>
      <c r="F26" s="139"/>
      <c r="G26" s="14"/>
      <c r="H26" s="59"/>
      <c r="I26" s="61">
        <f t="shared" si="4"/>
        <v>0</v>
      </c>
      <c r="J26" s="61">
        <f t="shared" si="5"/>
        <v>0</v>
      </c>
      <c r="K26" s="61">
        <f t="shared" si="6"/>
        <v>0</v>
      </c>
      <c r="L26" s="87"/>
    </row>
    <row r="27" spans="1:13">
      <c r="A27" s="13"/>
      <c r="B27" s="139" t="s">
        <v>119</v>
      </c>
      <c r="C27" s="139" t="s">
        <v>122</v>
      </c>
      <c r="D27" s="139" t="s">
        <v>120</v>
      </c>
      <c r="E27" s="146">
        <v>102</v>
      </c>
      <c r="F27" s="139" t="s">
        <v>121</v>
      </c>
      <c r="G27" s="14">
        <v>4</v>
      </c>
      <c r="H27" s="59">
        <v>7500</v>
      </c>
      <c r="I27" s="61">
        <f t="shared" si="4"/>
        <v>30000</v>
      </c>
      <c r="J27" s="61">
        <f t="shared" si="5"/>
        <v>3900</v>
      </c>
      <c r="K27" s="61">
        <f t="shared" si="6"/>
        <v>33900</v>
      </c>
      <c r="L27" s="88">
        <f t="shared" ref="L27" si="9">K27+K28</f>
        <v>33900</v>
      </c>
    </row>
    <row r="28" spans="1:13" s="134" customFormat="1">
      <c r="A28" s="79"/>
      <c r="B28" s="143"/>
      <c r="C28" s="143"/>
      <c r="D28" s="143"/>
      <c r="E28" s="147"/>
      <c r="F28" s="143"/>
      <c r="G28" s="131"/>
      <c r="H28" s="132"/>
      <c r="I28" s="132"/>
      <c r="J28" s="136"/>
      <c r="K28" s="133">
        <f t="shared" si="6"/>
        <v>0</v>
      </c>
      <c r="L28" s="135"/>
    </row>
    <row r="29" spans="1:13">
      <c r="A29" s="13"/>
      <c r="B29" s="139"/>
      <c r="C29" s="139"/>
      <c r="D29" s="139"/>
      <c r="E29" s="146"/>
      <c r="F29" s="139"/>
      <c r="G29" s="14"/>
      <c r="H29" s="59"/>
      <c r="I29" s="59"/>
      <c r="J29" s="59"/>
      <c r="K29" s="59"/>
      <c r="L29" s="59"/>
    </row>
    <row r="30" spans="1:13">
      <c r="A30" s="13"/>
      <c r="B30" s="139"/>
      <c r="C30" s="139"/>
      <c r="D30" s="139"/>
      <c r="E30" s="146"/>
      <c r="F30" s="139"/>
      <c r="G30" s="14"/>
      <c r="H30" s="59"/>
      <c r="I30" s="59"/>
      <c r="J30" s="59"/>
      <c r="K30" s="59"/>
      <c r="L30" s="59"/>
    </row>
    <row r="31" spans="1:13">
      <c r="A31" s="13"/>
      <c r="B31" s="139"/>
      <c r="C31" s="139"/>
      <c r="D31" s="139"/>
      <c r="E31" s="146"/>
      <c r="F31" s="139"/>
      <c r="G31" s="14"/>
      <c r="H31" s="59"/>
      <c r="I31" s="59"/>
      <c r="J31" s="59"/>
      <c r="K31" s="59"/>
      <c r="L31" s="59"/>
    </row>
    <row r="32" spans="1:13">
      <c r="A32" s="13"/>
      <c r="B32" s="139"/>
      <c r="C32" s="139"/>
      <c r="D32" s="139"/>
      <c r="E32" s="146"/>
      <c r="F32" s="139"/>
      <c r="G32" s="14"/>
      <c r="H32" s="59"/>
      <c r="I32" s="59"/>
      <c r="J32" s="59"/>
      <c r="K32" s="59"/>
      <c r="L32" s="59"/>
    </row>
    <row r="33" spans="1:12">
      <c r="A33" s="13"/>
      <c r="B33" s="139"/>
      <c r="C33" s="139"/>
      <c r="D33" s="139"/>
      <c r="E33" s="146"/>
      <c r="F33" s="139"/>
      <c r="G33" s="14"/>
      <c r="H33" s="59"/>
      <c r="I33" s="59"/>
      <c r="J33" s="59"/>
      <c r="K33" s="59"/>
      <c r="L33" s="59"/>
    </row>
    <row r="34" spans="1:12">
      <c r="A34" s="13"/>
      <c r="B34" s="139"/>
      <c r="C34" s="139"/>
      <c r="D34" s="139"/>
      <c r="E34" s="146"/>
      <c r="F34" s="139"/>
      <c r="G34" s="14"/>
      <c r="H34" s="59"/>
      <c r="I34" s="59"/>
      <c r="J34" s="59"/>
      <c r="K34" s="59"/>
      <c r="L34" s="59"/>
    </row>
    <row r="35" spans="1:12">
      <c r="A35" s="13"/>
      <c r="B35" s="139"/>
      <c r="C35" s="139"/>
      <c r="D35" s="139"/>
      <c r="E35" s="146"/>
      <c r="F35" s="139"/>
      <c r="G35" s="14"/>
      <c r="H35" s="59"/>
      <c r="I35" s="59"/>
      <c r="J35" s="59"/>
      <c r="K35" s="59"/>
      <c r="L35" s="59"/>
    </row>
    <row r="36" spans="1:12">
      <c r="A36" s="13"/>
      <c r="B36" s="139"/>
      <c r="C36" s="139"/>
      <c r="D36" s="139"/>
      <c r="E36" s="146"/>
      <c r="F36" s="139"/>
      <c r="G36" s="14"/>
      <c r="H36" s="59"/>
      <c r="I36" s="59"/>
      <c r="J36" s="59"/>
      <c r="K36" s="59"/>
      <c r="L36" s="59"/>
    </row>
    <row r="37" spans="1:12">
      <c r="A37" s="13"/>
      <c r="B37" s="139"/>
      <c r="C37" s="139"/>
      <c r="D37" s="139"/>
      <c r="E37" s="146"/>
      <c r="F37" s="139"/>
      <c r="G37" s="14"/>
      <c r="H37" s="59"/>
      <c r="I37" s="59"/>
      <c r="J37" s="59"/>
      <c r="K37" s="59"/>
      <c r="L37" s="59"/>
    </row>
    <row r="38" spans="1:12">
      <c r="A38" s="13"/>
      <c r="B38" s="139"/>
      <c r="C38" s="139"/>
      <c r="D38" s="139"/>
      <c r="E38" s="146"/>
      <c r="F38" s="139"/>
      <c r="G38" s="14"/>
      <c r="H38" s="59"/>
      <c r="I38" s="59"/>
      <c r="J38" s="59"/>
      <c r="K38" s="59"/>
      <c r="L38" s="59"/>
    </row>
    <row r="39" spans="1:12">
      <c r="A39" s="13"/>
      <c r="B39" s="139"/>
      <c r="C39" s="139"/>
      <c r="D39" s="139"/>
      <c r="E39" s="146"/>
      <c r="F39" s="139"/>
      <c r="G39" s="14"/>
      <c r="H39" s="59"/>
      <c r="I39" s="59"/>
      <c r="J39" s="59"/>
      <c r="K39" s="59"/>
      <c r="L39" s="59"/>
    </row>
    <row r="40" spans="1:12">
      <c r="A40" s="13"/>
      <c r="B40" s="139"/>
      <c r="C40" s="139"/>
      <c r="D40" s="139"/>
      <c r="E40" s="146"/>
      <c r="F40" s="139"/>
      <c r="G40" s="14"/>
      <c r="H40" s="59"/>
      <c r="I40" s="59"/>
      <c r="J40" s="59"/>
      <c r="K40" s="59"/>
      <c r="L40" s="59"/>
    </row>
    <row r="41" spans="1:12">
      <c r="A41" s="13"/>
      <c r="B41" s="139"/>
      <c r="C41" s="139"/>
      <c r="D41" s="139"/>
      <c r="E41" s="146"/>
      <c r="F41" s="139"/>
      <c r="G41" s="14"/>
      <c r="H41" s="59"/>
      <c r="I41" s="59"/>
      <c r="J41" s="59"/>
      <c r="K41" s="59"/>
      <c r="L41" s="59"/>
    </row>
    <row r="42" spans="1:12">
      <c r="A42" s="13"/>
      <c r="B42" s="139"/>
      <c r="C42" s="139"/>
      <c r="D42" s="139"/>
      <c r="E42" s="146"/>
      <c r="F42" s="139"/>
      <c r="G42" s="14"/>
      <c r="H42" s="59"/>
      <c r="I42" s="59"/>
      <c r="J42" s="59"/>
      <c r="K42" s="59"/>
      <c r="L42" s="59"/>
    </row>
    <row r="43" spans="1:12">
      <c r="A43" s="13"/>
      <c r="B43" s="139"/>
      <c r="C43" s="139"/>
      <c r="D43" s="139"/>
      <c r="E43" s="146"/>
      <c r="F43" s="139"/>
      <c r="G43" s="14"/>
      <c r="H43" s="59"/>
      <c r="I43" s="59"/>
      <c r="J43" s="59"/>
      <c r="K43" s="59"/>
      <c r="L43" s="59"/>
    </row>
    <row r="44" spans="1:12">
      <c r="A44" s="13"/>
      <c r="B44" s="139"/>
      <c r="C44" s="139"/>
      <c r="D44" s="139"/>
      <c r="E44" s="146"/>
      <c r="F44" s="139"/>
      <c r="G44" s="14"/>
      <c r="H44" s="59"/>
      <c r="I44" s="59"/>
      <c r="J44" s="59"/>
      <c r="K44" s="59"/>
      <c r="L44" s="59"/>
    </row>
    <row r="45" spans="1:12">
      <c r="A45" s="13"/>
      <c r="B45" s="139"/>
      <c r="C45" s="139"/>
      <c r="D45" s="139"/>
      <c r="E45" s="146"/>
      <c r="F45" s="139"/>
      <c r="G45" s="14"/>
      <c r="H45" s="59"/>
      <c r="I45" s="59"/>
      <c r="J45" s="59"/>
      <c r="K45" s="59"/>
      <c r="L45" s="59"/>
    </row>
    <row r="46" spans="1:12">
      <c r="A46" s="13"/>
      <c r="B46" s="139"/>
      <c r="C46" s="139"/>
      <c r="D46" s="139"/>
      <c r="E46" s="146"/>
      <c r="F46" s="139"/>
      <c r="G46" s="14"/>
      <c r="H46" s="59"/>
      <c r="I46" s="59"/>
      <c r="J46" s="59"/>
      <c r="K46" s="59"/>
      <c r="L46" s="59"/>
    </row>
    <row r="47" spans="1:12">
      <c r="A47" s="13"/>
      <c r="B47" s="139"/>
      <c r="C47" s="139"/>
      <c r="D47" s="139"/>
      <c r="E47" s="146"/>
      <c r="F47" s="139"/>
      <c r="G47" s="14"/>
      <c r="H47" s="59"/>
      <c r="I47" s="59"/>
      <c r="J47" s="59"/>
      <c r="K47" s="59"/>
      <c r="L47" s="59"/>
    </row>
    <row r="48" spans="1:12">
      <c r="A48" s="13"/>
      <c r="B48" s="139"/>
      <c r="C48" s="139"/>
      <c r="D48" s="139"/>
      <c r="E48" s="146"/>
      <c r="F48" s="139"/>
      <c r="G48" s="14"/>
      <c r="H48" s="59"/>
      <c r="I48" s="59"/>
      <c r="J48" s="59"/>
      <c r="K48" s="59"/>
      <c r="L48" s="59"/>
    </row>
    <row r="49" spans="1:12">
      <c r="A49" s="13"/>
      <c r="B49" s="139"/>
      <c r="C49" s="139"/>
      <c r="D49" s="139"/>
      <c r="E49" s="146"/>
      <c r="F49" s="139"/>
      <c r="G49" s="14"/>
      <c r="H49" s="59"/>
      <c r="I49" s="59"/>
      <c r="J49" s="59"/>
      <c r="K49" s="59"/>
      <c r="L49" s="59"/>
    </row>
    <row r="50" spans="1:12">
      <c r="A50" s="13"/>
      <c r="B50" s="139"/>
      <c r="C50" s="139"/>
      <c r="D50" s="139"/>
      <c r="E50" s="146"/>
      <c r="F50" s="139"/>
      <c r="G50" s="14"/>
      <c r="H50" s="59"/>
      <c r="I50" s="59"/>
      <c r="J50" s="59"/>
      <c r="K50" s="59"/>
      <c r="L50" s="59"/>
    </row>
    <row r="51" spans="1:12">
      <c r="A51" s="13"/>
      <c r="B51" s="139"/>
      <c r="C51" s="139"/>
      <c r="D51" s="139"/>
      <c r="E51" s="146"/>
      <c r="F51" s="139"/>
      <c r="G51" s="14"/>
      <c r="H51" s="59"/>
      <c r="I51" s="59"/>
      <c r="J51" s="59"/>
      <c r="K51" s="59"/>
      <c r="L51" s="59"/>
    </row>
    <row r="52" spans="1:12">
      <c r="A52" s="13"/>
      <c r="B52" s="139"/>
      <c r="C52" s="139"/>
      <c r="D52" s="139"/>
      <c r="E52" s="146"/>
      <c r="F52" s="139"/>
      <c r="G52" s="14"/>
      <c r="H52" s="59"/>
      <c r="I52" s="59"/>
      <c r="J52" s="59"/>
      <c r="K52" s="59"/>
      <c r="L52" s="59"/>
    </row>
    <row r="53" spans="1:12">
      <c r="A53" s="13"/>
      <c r="B53" s="139"/>
      <c r="C53" s="139"/>
      <c r="D53" s="139"/>
      <c r="E53" s="146"/>
      <c r="F53" s="139"/>
      <c r="G53" s="14"/>
      <c r="H53" s="59"/>
      <c r="I53" s="59"/>
      <c r="J53" s="59"/>
      <c r="K53" s="59"/>
      <c r="L53" s="59"/>
    </row>
    <row r="54" spans="1:12">
      <c r="A54" s="13"/>
      <c r="B54" s="139"/>
      <c r="C54" s="139"/>
      <c r="D54" s="139"/>
      <c r="E54" s="146"/>
      <c r="F54" s="139"/>
      <c r="G54" s="14"/>
      <c r="H54" s="59"/>
      <c r="I54" s="59"/>
      <c r="J54" s="59"/>
      <c r="K54" s="59"/>
      <c r="L54" s="59"/>
    </row>
    <row r="55" spans="1:12">
      <c r="A55" s="13"/>
      <c r="B55" s="139"/>
      <c r="C55" s="139"/>
      <c r="D55" s="139"/>
      <c r="E55" s="146"/>
      <c r="F55" s="139"/>
      <c r="G55" s="14"/>
      <c r="H55" s="59"/>
      <c r="I55" s="59"/>
      <c r="J55" s="59"/>
      <c r="K55" s="59"/>
      <c r="L55" s="59"/>
    </row>
    <row r="56" spans="1:12">
      <c r="A56" s="13"/>
      <c r="B56" s="139"/>
      <c r="C56" s="139"/>
      <c r="D56" s="139"/>
      <c r="E56" s="146"/>
      <c r="F56" s="139"/>
      <c r="G56" s="14"/>
      <c r="H56" s="59"/>
      <c r="I56" s="59"/>
      <c r="J56" s="59"/>
      <c r="K56" s="59"/>
      <c r="L56" s="59"/>
    </row>
    <row r="57" spans="1:12">
      <c r="A57" s="13"/>
      <c r="B57" s="139"/>
      <c r="C57" s="139"/>
      <c r="D57" s="139"/>
      <c r="E57" s="146"/>
      <c r="F57" s="139"/>
      <c r="G57" s="14"/>
      <c r="H57" s="59"/>
      <c r="I57" s="59"/>
      <c r="J57" s="59"/>
      <c r="K57" s="59"/>
      <c r="L57" s="59"/>
    </row>
    <row r="58" spans="1:12">
      <c r="A58" s="13"/>
      <c r="B58" s="139"/>
      <c r="C58" s="139"/>
      <c r="D58" s="139"/>
      <c r="E58" s="146"/>
      <c r="F58" s="139"/>
      <c r="G58" s="14"/>
      <c r="H58" s="59"/>
      <c r="I58" s="59"/>
      <c r="J58" s="59"/>
      <c r="K58" s="59"/>
      <c r="L58" s="59"/>
    </row>
    <row r="59" spans="1:12">
      <c r="A59" s="13"/>
      <c r="B59" s="139"/>
      <c r="C59" s="139"/>
      <c r="D59" s="139"/>
      <c r="E59" s="146"/>
      <c r="F59" s="139"/>
      <c r="G59" s="14"/>
      <c r="H59" s="59"/>
      <c r="I59" s="59"/>
      <c r="J59" s="59"/>
      <c r="K59" s="59"/>
      <c r="L59" s="59"/>
    </row>
    <row r="60" spans="1:12">
      <c r="A60" s="13"/>
      <c r="B60" s="139"/>
      <c r="C60" s="139"/>
      <c r="D60" s="139"/>
      <c r="E60" s="146"/>
      <c r="F60" s="139"/>
      <c r="G60" s="14"/>
      <c r="H60" s="59"/>
      <c r="I60" s="59"/>
      <c r="J60" s="59"/>
      <c r="K60" s="59"/>
      <c r="L60" s="59"/>
    </row>
    <row r="61" spans="1:12">
      <c r="A61" s="13"/>
      <c r="B61" s="139"/>
      <c r="C61" s="139"/>
      <c r="D61" s="139"/>
      <c r="E61" s="146"/>
      <c r="F61" s="139"/>
      <c r="G61" s="14"/>
      <c r="H61" s="59"/>
      <c r="I61" s="59"/>
      <c r="J61" s="59"/>
      <c r="K61" s="59"/>
      <c r="L61" s="59"/>
    </row>
    <row r="62" spans="1:12">
      <c r="A62" s="13"/>
      <c r="B62" s="139"/>
      <c r="C62" s="139"/>
      <c r="D62" s="139"/>
      <c r="E62" s="146"/>
      <c r="F62" s="139"/>
      <c r="G62" s="14"/>
      <c r="H62" s="59"/>
      <c r="I62" s="59"/>
      <c r="J62" s="59"/>
      <c r="K62" s="59"/>
      <c r="L62" s="59"/>
    </row>
  </sheetData>
  <mergeCells count="3">
    <mergeCell ref="L10:L13"/>
    <mergeCell ref="A2:N3"/>
    <mergeCell ref="L23:L24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 </vt:lpstr>
      <vt:lpstr>local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2024-01-10T08:33:44Z</dcterms:modified>
</cp:coreProperties>
</file>