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760" tabRatio="972" activeTab="1"/>
  </bookViews>
  <sheets>
    <sheet name="Sheet1" sheetId="4" r:id="rId1"/>
    <sheet name="COMPANY ACCOUNT" sheetId="1" r:id="rId2"/>
    <sheet name="BIPIN SIR" sheetId="2" r:id="rId3"/>
    <sheet name="KALYAN KARN" sheetId="3" r:id="rId4"/>
    <sheet name="Sheet2" sheetId="5" r:id="rId5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3" i="3"/>
  <c r="F34"/>
  <c r="F35" s="1"/>
  <c r="F36" s="1"/>
  <c r="F37" s="1"/>
  <c r="F38" s="1"/>
  <c r="F39" s="1"/>
  <c r="F40" s="1"/>
  <c r="F41" s="1"/>
  <c r="F42" s="1"/>
  <c r="F23"/>
  <c r="F24" s="1"/>
  <c r="F25" s="1"/>
  <c r="F26" s="1"/>
  <c r="F27" s="1"/>
  <c r="F28" s="1"/>
  <c r="F29" s="1"/>
  <c r="F30" s="1"/>
  <c r="F31" s="1"/>
  <c r="F32" s="1"/>
  <c r="F33" s="1"/>
  <c r="F14"/>
  <c r="F15" s="1"/>
  <c r="F16" s="1"/>
  <c r="F17" s="1"/>
  <c r="F18" s="1"/>
  <c r="F19" s="1"/>
  <c r="F20" s="1"/>
  <c r="F21" s="1"/>
  <c r="F22" s="1"/>
  <c r="F6"/>
  <c r="F7" s="1"/>
  <c r="F8" s="1"/>
  <c r="F9" s="1"/>
  <c r="F10" s="1"/>
  <c r="F11" s="1"/>
  <c r="F12" s="1"/>
  <c r="F13" s="1"/>
  <c r="F5"/>
  <c r="F36" i="5"/>
  <c r="K34" i="1"/>
  <c r="E18" i="2" l="1"/>
  <c r="F17"/>
  <c r="D18"/>
  <c r="F16" l="1"/>
  <c r="F15"/>
  <c r="F14" l="1"/>
  <c r="F44" i="3"/>
  <c r="E45"/>
  <c r="D45"/>
  <c r="F13" i="2"/>
  <c r="F12"/>
  <c r="F45" i="3" l="1"/>
  <c r="F11" i="2" l="1"/>
  <c r="F10"/>
  <c r="F9"/>
  <c r="F18" l="1"/>
  <c r="F8"/>
  <c r="F4" i="3" l="1"/>
  <c r="F5" i="2"/>
  <c r="F6"/>
  <c r="F7"/>
  <c r="F4"/>
  <c r="F5" i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F36" s="1"/>
  <c r="F37" s="1"/>
  <c r="F38" s="1"/>
  <c r="F39" s="1"/>
  <c r="F40" s="1"/>
  <c r="F41" s="1"/>
  <c r="F42" s="1"/>
  <c r="F43" s="1"/>
  <c r="F44" s="1"/>
  <c r="F45" s="1"/>
  <c r="F46" s="1"/>
  <c r="F48" s="1"/>
  <c r="F49" s="1"/>
  <c r="F50" s="1"/>
  <c r="F51" s="1"/>
  <c r="F52" s="1"/>
  <c r="F53" s="1"/>
  <c r="F54" s="1"/>
  <c r="F55" s="1"/>
  <c r="F56" s="1"/>
  <c r="F57" s="1"/>
  <c r="F58" s="1"/>
  <c r="F59" s="1"/>
  <c r="F61" l="1"/>
  <c r="F62" s="1"/>
  <c r="F63" s="1"/>
  <c r="F64" s="1"/>
  <c r="F65" s="1"/>
  <c r="F66" s="1"/>
  <c r="F67" s="1"/>
  <c r="F68" s="1"/>
  <c r="F69" s="1"/>
  <c r="F70" s="1"/>
  <c r="F71" s="1"/>
  <c r="F72" s="1"/>
  <c r="F73" s="1"/>
  <c r="F74" s="1"/>
  <c r="F75" s="1"/>
  <c r="F76" s="1"/>
  <c r="F77" s="1"/>
  <c r="F79" s="1"/>
  <c r="F80" s="1"/>
  <c r="F81" s="1"/>
  <c r="F82" s="1"/>
  <c r="F83" s="1"/>
  <c r="F84" s="1"/>
  <c r="F85" s="1"/>
  <c r="F86" s="1"/>
  <c r="F87" s="1"/>
  <c r="F88" s="1"/>
  <c r="F89" s="1"/>
  <c r="F90" s="1"/>
  <c r="F91" s="1"/>
  <c r="F92" s="1"/>
  <c r="F93" s="1"/>
  <c r="F94" s="1"/>
  <c r="F95" s="1"/>
  <c r="F96" s="1"/>
  <c r="F97" s="1"/>
  <c r="F98" s="1"/>
  <c r="F99" s="1"/>
  <c r="F100" s="1"/>
  <c r="F101" s="1"/>
  <c r="F103" s="1"/>
  <c r="F104" s="1"/>
  <c r="F105" s="1"/>
  <c r="F106" s="1"/>
  <c r="F107" s="1"/>
  <c r="F108" s="1"/>
  <c r="F109" s="1"/>
  <c r="F110" s="1"/>
  <c r="F111" s="1"/>
  <c r="F112" s="1"/>
  <c r="F113" s="1"/>
  <c r="F114" s="1"/>
  <c r="F115" s="1"/>
  <c r="F116" s="1"/>
  <c r="F117" s="1"/>
  <c r="F118" s="1"/>
  <c r="F119" s="1"/>
  <c r="F120" s="1"/>
  <c r="F121" s="1"/>
  <c r="F122" s="1"/>
  <c r="F123" s="1"/>
  <c r="F124" s="1"/>
  <c r="F125" s="1"/>
  <c r="F126" s="1"/>
  <c r="F128" s="1"/>
  <c r="F129" s="1"/>
  <c r="F130" s="1"/>
  <c r="F131" s="1"/>
  <c r="F132" s="1"/>
  <c r="F133" s="1"/>
  <c r="F134" s="1"/>
  <c r="F135" s="1"/>
  <c r="F137" l="1"/>
  <c r="F138" s="1"/>
  <c r="F139" s="1"/>
  <c r="F140" s="1"/>
  <c r="F141" s="1"/>
  <c r="F142" s="1"/>
  <c r="F143" s="1"/>
  <c r="F144" s="1"/>
  <c r="F145" s="1"/>
  <c r="F146" s="1"/>
</calcChain>
</file>

<file path=xl/sharedStrings.xml><?xml version="1.0" encoding="utf-8"?>
<sst xmlns="http://schemas.openxmlformats.org/spreadsheetml/2006/main" count="276" uniqueCount="185">
  <si>
    <t>SIMULCAST TECHNOLOGIES</t>
  </si>
  <si>
    <t>S.N.</t>
  </si>
  <si>
    <t>DESCRIPTION</t>
  </si>
  <si>
    <t>DR</t>
  </si>
  <si>
    <t>CR</t>
  </si>
  <si>
    <t>BALANCE</t>
  </si>
  <si>
    <t>COMPANY ACCOUNT DETAILS :</t>
  </si>
  <si>
    <t>DATE</t>
  </si>
  <si>
    <t>DIRECTOR PAYMENT</t>
  </si>
  <si>
    <t>SHASA ENTERPRISES ( PAID FOR TT AMOUNT OF FCTELE )</t>
  </si>
  <si>
    <t>RECEIVED FROM BIPIN SIR ( FOR TT AMOUNT FEELWORLD )</t>
  </si>
  <si>
    <t>SHASA ENTERPRISES ( PAID FOR TT AMOUNT OF FEELWORLD ) LAXMI BANK</t>
  </si>
  <si>
    <t xml:space="preserve">DHULIKHEL HOSPITAL </t>
  </si>
  <si>
    <t>PRESENTMENT CHRG FOR CHQ NO 41963646/NABIL BANK</t>
  </si>
  <si>
    <t xml:space="preserve">SHASA ENTERPRISES / LAXMI BANK </t>
  </si>
  <si>
    <t>SHASA ENTERPRISES</t>
  </si>
  <si>
    <t>SHASA ENTERPRISES ( BANK CHARGES ) LAXMI BANK</t>
  </si>
  <si>
    <t xml:space="preserve">PAID TO DIRECTOR </t>
  </si>
  <si>
    <t>REFUND TO BIPIN SIR ( TT AMOUNT FOR FEELWORLD )</t>
  </si>
  <si>
    <t>NEPAL KHABAR PVT LTD</t>
  </si>
  <si>
    <t>LOKESH AGRAWAL ( CEILING LIGHT HINGE PAYMENT )</t>
  </si>
  <si>
    <t>old balance</t>
  </si>
  <si>
    <t>KALYAN KARN</t>
  </si>
  <si>
    <t>NMB BANK TO SIDDHARTH BANK ( DHULIKHEL HOSPITAL ) PERSONAL ACCOUNT</t>
  </si>
  <si>
    <t>NABIL BANK FUND TRANSFER TO SIDDHARTH BANK    ( DHULIKHEL HOSPITAL ) PERSONAL ACCOUNT</t>
  </si>
  <si>
    <t>EVEREST BANK FUND TRANSFER TO SIDDHARTH BANK    ( DHULIKHEL HOSPITAL ) COMPANY ACCOUNT</t>
  </si>
  <si>
    <t>COMPANY ACCOUNT TO EVEREST BANK REFUND</t>
  </si>
  <si>
    <t>DIRECTOR PAYMENT ( BIPIN SIR LOAN )</t>
  </si>
  <si>
    <t>TRANSFER CHARGE</t>
  </si>
  <si>
    <t xml:space="preserve">REFUND TO KALYAN </t>
  </si>
  <si>
    <t>SHASA ENTERPRISES ( LAXMI BANK ) - CUSTOM CLEARANCE</t>
  </si>
  <si>
    <t>DHULIKHEL HOSPITAL  ( NABIL BANK ) SECOND INSTALLAMENT</t>
  </si>
  <si>
    <t>PRESENTMENT CHRG FOR CHQ NO 40093569/NABIL BANK ( DHULIKHEL HOSPITAL)</t>
  </si>
  <si>
    <t>FUND TRANSFER TO KALYAN KARN ACCOUNT</t>
  </si>
  <si>
    <t>DURACELL BATTERY FOR DHULIKHEL HOSPITAL ( BIG MART ) BOYA-WM6</t>
  </si>
  <si>
    <t>SMART ENTERPRISES PVT LTD ( SOHETO ) SDI TO HDMI &amp; HDMI TO SDI BILL NO. : 211</t>
  </si>
  <si>
    <t>NEPAL MAX TECHNOLOGIES PVT LTD XVIVE U4  BILL NO. : 185</t>
  </si>
  <si>
    <t>NEOTRIC ELECTRONICS HDMI CONNECTOR</t>
  </si>
  <si>
    <t>LOCAL PURCHASE CHARGER AND DATA CABLE TYPE -C FOR DHULIKHEL HOSPITAL</t>
  </si>
  <si>
    <t>ACCOUNT OPENING CHARGE</t>
  </si>
  <si>
    <t xml:space="preserve">PAID TO DIRECTOR  RETURN </t>
  </si>
  <si>
    <t>PAID TO DIRECTOR</t>
  </si>
  <si>
    <t>RETURN TO COMPANY</t>
  </si>
  <si>
    <t>KALYAN KARN REFUND</t>
  </si>
  <si>
    <t>HDMI FIBER CABLE 25 METER</t>
  </si>
  <si>
    <t>SYAKAR COMPANY PVT LTD ( EARPHONE PHILIPS )</t>
  </si>
  <si>
    <t xml:space="preserve">DHULIKHEL HOSPITAL ( NCC BANK ) THIRD </t>
  </si>
  <si>
    <t>PRESENTMENT CHRG FOR CHQ NO 13699051/NCC BANK( DHULIKHEL HOSPITAL)</t>
  </si>
  <si>
    <t>LOAN RETURN BIPIN SIR</t>
  </si>
  <si>
    <t>KALYAN ACCOUNT TO EVEREST BANK REFUND</t>
  </si>
  <si>
    <t>BIPIN SIR LOAN RETURN</t>
  </si>
  <si>
    <t>NEPALKHABAR RETURN ( ELECTRICIAN PAYMENT )</t>
  </si>
  <si>
    <t>SHASA ENTERPRISES ( CUSTOM CLEARANCE ) - FCTEL</t>
  </si>
  <si>
    <t>UTTAM NEPAL ( REFLEX IT SOLUTION ) SIMULCAST WEBSITE</t>
  </si>
  <si>
    <t xml:space="preserve">NEPAL KHABAR SALES RETURN - CEILING HINGE </t>
  </si>
  <si>
    <t>HOME RENT PAID ( KALYAN KARN )</t>
  </si>
  <si>
    <t>VISITING CARD PRINT ( SIMULCAST )</t>
  </si>
  <si>
    <t>HOME RENT PAID ( COMPANY TO LANDLORD)</t>
  </si>
  <si>
    <t>HDMI CABLE - 15 METER ( DHULIKHEL )</t>
  </si>
  <si>
    <t>CABLE CONNECTORS - DHULIKHEL HOSPITAL</t>
  </si>
  <si>
    <t xml:space="preserve">GLOBAL RIDHI SIDHI MULTIPURPOSE </t>
  </si>
  <si>
    <t>GLOBAL RIDHI SIDHI MULTIPURPOSE  - REJECTED</t>
  </si>
  <si>
    <t xml:space="preserve">PAID TO KALYAN ( ESEWA ) - HOME BANK LOAN </t>
  </si>
  <si>
    <t>RIDHI SIDHI MULTIPURPOSE - GLOBAL BANK</t>
  </si>
  <si>
    <t xml:space="preserve">FUND TRF TO IBFTPAYABLE </t>
  </si>
  <si>
    <t xml:space="preserve">DHULIKHEL HOSPITAL - NABIL BANK </t>
  </si>
  <si>
    <t>DHULIKHEL HOSPITAL, PRESENETMENT CHRTG - CHQ NO : 41963671</t>
  </si>
  <si>
    <t>DHULIKHEL HOSPITAL - NABIL BANK - REJECTED - INSUFFICIENT FUND</t>
  </si>
  <si>
    <t>PAID TO KALYAN - PAID TO PAWAN UNCLE</t>
  </si>
  <si>
    <t>PAID TO KALYAN</t>
  </si>
  <si>
    <t>PAID TO KALYAN (LOAN REFUND FOR PAWAN KARN) PERSONAL</t>
  </si>
  <si>
    <t>DHULIKHEL HOSPITAL - NABIL BANK CHQ NO : 41963671</t>
  </si>
  <si>
    <t xml:space="preserve">BIPIN KUMAR AGRAHARI TO SIMULCAST </t>
  </si>
  <si>
    <t>BIPIN KUMAR AGRAHARI - CHQ PRESENTMENT CHRG - 41116636</t>
  </si>
  <si>
    <t>DEPOSITE TO COMPANY ACCOUNT EVEREST TO SIDDHARTH</t>
  </si>
  <si>
    <t>KALYAN ACCOUNT TO NANDITA AGRAHARI NABIL BANK</t>
  </si>
  <si>
    <t>DEPOSITE TO SIMULCAST - AV BIONICS TO SIMULCAST</t>
  </si>
  <si>
    <t>TRF FROM COMPANY ACCOUNT TO KALYAN PERSONAL ACCOUNT ( NANDITA AGRAHARI -AV BIONICS  )</t>
  </si>
  <si>
    <t>PAID TO KALYAN ( ESEWA )</t>
  </si>
  <si>
    <t>PAID TO KALYAN ( PERSONAL ACCOUNT )</t>
  </si>
  <si>
    <t>REFRESHMENT WITH SURESH - MADHESH TV PROJECT</t>
  </si>
  <si>
    <t>DHL - CHARGE ( AV BIONICS )</t>
  </si>
  <si>
    <t>PAID TO KALYAN ( DEURALI )</t>
  </si>
  <si>
    <t>PAID TO KALYAN ( DEURALI THAKALI )</t>
  </si>
  <si>
    <t xml:space="preserve">PAID TO KALYAN </t>
  </si>
  <si>
    <t>STAR MEDIA NETWORK ( TV TODAY ) MIC PAYMENT</t>
  </si>
  <si>
    <t>SIMULCAST FAMILY - REFRESHMENT</t>
  </si>
  <si>
    <t>AV BIONICS TO SIMULCAST ( BIPIN SIR )</t>
  </si>
  <si>
    <t>PRESENTMENT CHRG FOR CHQ NO. 53454581</t>
  </si>
  <si>
    <t>HOUSE RENT PAYMENT ( KALYAN KARN )</t>
  </si>
  <si>
    <t>TRANSFER TO PRAMOD AGRAHARI ( BIPIN SIR )</t>
  </si>
  <si>
    <t>AV BIONICS TO SIMULCAST - BIPIN SIR OD ACCOUNT ( FOR PRAMOD DAI )</t>
  </si>
  <si>
    <t xml:space="preserve">MEETING ( BIBHAG ) INDRENI </t>
  </si>
  <si>
    <t>KALYAN KARN ( PERSONAL USE )</t>
  </si>
  <si>
    <t>NNB ( NEWS NEPAL BANK ) BONDING DEVICE PAYMENT</t>
  </si>
  <si>
    <t>NNB ( NEWS NEPAL BANK ) BONDING DEVICE PAYMENT - INSUFFICIEINT BALANCE</t>
  </si>
  <si>
    <t>RIDHI SIDHI MULTIPURPOSE - PRABHU BANK ( MOBILE BANKING ) CONTROLLER PAYMENT</t>
  </si>
  <si>
    <t>KALYAN KARN - PERSONAL</t>
  </si>
  <si>
    <t>KALYAN KARN - PERSONAL ( CREDIT CARD )</t>
  </si>
  <si>
    <t>KALYAN KARN - PERSONAL (SIMARA FLIGHT)</t>
  </si>
  <si>
    <t>KALYAN KARN - PERSONAL ( GURIYA )</t>
  </si>
  <si>
    <t>TV TODAY ( CONTROLLER )</t>
  </si>
  <si>
    <t>CHECK PRESENTMENT CHRG</t>
  </si>
  <si>
    <t>TAX AMOUNT PAID ( RAMESH SIR )</t>
  </si>
  <si>
    <t>AV BIONICS - SIMULCAST ( ADVANCE )</t>
  </si>
  <si>
    <t>BIPIN SIR ( PRAMOD DAI )</t>
  </si>
  <si>
    <t>KATHMANDU UNIVERSITY ( 43 TV AND WALL MOUNT )</t>
  </si>
  <si>
    <t xml:space="preserve">COMISSION TO SUSHIL FOR DHULIKHEL </t>
  </si>
  <si>
    <t>TORAN BAHADUR RANA - ADVANCE</t>
  </si>
  <si>
    <t xml:space="preserve">RIDHI SIDHI MULTI PURPOSE - BONDING DEVICE </t>
  </si>
  <si>
    <t>RIDHI SIDHI MULTI PURPOSE - BONDING DEVICE  - INSUFFICIENT BALANCE</t>
  </si>
  <si>
    <t>SIMULCAST TO AV BIONICS ( ADVANCE RETURN )</t>
  </si>
  <si>
    <t>KALYAN KARN ( ESEWA ) PERSONAL USE</t>
  </si>
  <si>
    <t>KALYAN KARN PERSONAL USE</t>
  </si>
  <si>
    <t>AV BIONICS ( BIPIN SIR )</t>
  </si>
  <si>
    <t>BALKUMARI ELECTRONICS PAYMENT ( 43INCH TV &amp; WALL MOUNT)</t>
  </si>
  <si>
    <t>HOUSE RENT TAX PAYMENT ( RAMESH SIR )</t>
  </si>
  <si>
    <t>AV BIONICS - SIMULCAST</t>
  </si>
  <si>
    <t>AASHI TRADERS ( AMRENDRA YADAV )</t>
  </si>
  <si>
    <t xml:space="preserve">KALYAN KUMAR KARN ( CREDIT CARD ) SIMARA EXPENSES </t>
  </si>
  <si>
    <t>AIR TV ( BREAKFAST ILLY ) DELI AKUJ</t>
  </si>
  <si>
    <t xml:space="preserve">STATEMENT CHARGE </t>
  </si>
  <si>
    <t>AV BIONICS / Simulcast ( Advance )</t>
  </si>
  <si>
    <t>SDI TO HDMI Converter ( Mohan )</t>
  </si>
  <si>
    <t xml:space="preserve">KALYAN KARN </t>
  </si>
  <si>
    <t>PAYMENT OF P2 ( PMO OFFICE ) CASH DEPOSITED BY : KALYAN</t>
  </si>
  <si>
    <t xml:space="preserve">LAUNCH AT NADA </t>
  </si>
  <si>
    <t>PAYMENT OF BOYA VM01 + STEREO CABLE 3.5 MM MALE TO 3.5MM FEMALE 3METER</t>
  </si>
  <si>
    <t>KALYAN KUMAR KARN</t>
  </si>
  <si>
    <t xml:space="preserve">AV BIONICS </t>
  </si>
  <si>
    <t>AV BIONICS BANK TRANSFER CHARGE</t>
  </si>
  <si>
    <t>RIDHI SIDHI MULTIPURPOSE COMPANY PVT LTD ( HDMI SPLITTER 2 PCS)</t>
  </si>
  <si>
    <t>RIDHI SIDHI MULTIPURPOSE COMPANY PVT LTD ( SDI TO HDMI CONVERTER )</t>
  </si>
  <si>
    <t>SIMULCAST - AV BIONICS</t>
  </si>
  <si>
    <t>PURCAHSE</t>
  </si>
  <si>
    <t>s. no</t>
  </si>
  <si>
    <t xml:space="preserve">MITTI </t>
  </si>
  <si>
    <t xml:space="preserve">DATE </t>
  </si>
  <si>
    <t xml:space="preserve">PARTICULAR </t>
  </si>
  <si>
    <t>CHq no</t>
  </si>
  <si>
    <t xml:space="preserve">Remarks </t>
  </si>
  <si>
    <t xml:space="preserve">Amount </t>
  </si>
  <si>
    <t xml:space="preserve">Balance </t>
  </si>
  <si>
    <t>16.09.23</t>
  </si>
  <si>
    <t>OPENING BALANCE</t>
  </si>
  <si>
    <t xml:space="preserve">office expenses </t>
  </si>
  <si>
    <t>sno</t>
  </si>
  <si>
    <t xml:space="preserve">date </t>
  </si>
  <si>
    <t>date</t>
  </si>
  <si>
    <t>particular</t>
  </si>
  <si>
    <t xml:space="preserve">amount </t>
  </si>
  <si>
    <t>05.03.23</t>
  </si>
  <si>
    <t>bank charged</t>
  </si>
  <si>
    <t>09.03.23</t>
  </si>
  <si>
    <t>7.03.23</t>
  </si>
  <si>
    <t>17.03.23</t>
  </si>
  <si>
    <t>22.03.23</t>
  </si>
  <si>
    <t>03.04.23</t>
  </si>
  <si>
    <t>website payment</t>
  </si>
  <si>
    <t>09.04.23</t>
  </si>
  <si>
    <t xml:space="preserve">visiting card </t>
  </si>
  <si>
    <t>09.05.23</t>
  </si>
  <si>
    <t>17.05.23</t>
  </si>
  <si>
    <t>02.06.23</t>
  </si>
  <si>
    <t>refreshment</t>
  </si>
  <si>
    <t xml:space="preserve">dhl for av </t>
  </si>
  <si>
    <t>04.06.23</t>
  </si>
  <si>
    <t>08.06.23</t>
  </si>
  <si>
    <t>family refreshment</t>
  </si>
  <si>
    <t>13.06.23</t>
  </si>
  <si>
    <t xml:space="preserve">meeting indreni </t>
  </si>
  <si>
    <t>20.06.23</t>
  </si>
  <si>
    <t>07.07.23</t>
  </si>
  <si>
    <t>09.07.23</t>
  </si>
  <si>
    <t>tax amount paid</t>
  </si>
  <si>
    <t>23.07.23</t>
  </si>
  <si>
    <t>30.07.23</t>
  </si>
  <si>
    <t xml:space="preserve">house rent tax paid </t>
  </si>
  <si>
    <t>11.08.23</t>
  </si>
  <si>
    <t>air tv breakfast</t>
  </si>
  <si>
    <t>16.08.23</t>
  </si>
  <si>
    <t>lunch at nada</t>
  </si>
  <si>
    <t>13.09.23</t>
  </si>
  <si>
    <t xml:space="preserve">paid </t>
  </si>
  <si>
    <t>receives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</si>
</sst>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.0_);_(* \(#,##0.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20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4">
    <xf numFmtId="0" fontId="0" fillId="0" borderId="0" xfId="0"/>
    <xf numFmtId="43" fontId="0" fillId="0" borderId="0" xfId="0" applyNumberFormat="1"/>
    <xf numFmtId="0" fontId="2" fillId="0" borderId="1" xfId="0" applyFont="1" applyBorder="1"/>
    <xf numFmtId="0" fontId="0" fillId="0" borderId="1" xfId="0" applyBorder="1"/>
    <xf numFmtId="15" fontId="0" fillId="0" borderId="1" xfId="0" applyNumberFormat="1" applyBorder="1"/>
    <xf numFmtId="43" fontId="0" fillId="0" borderId="1" xfId="1" applyFont="1" applyBorder="1"/>
    <xf numFmtId="43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5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43" fontId="0" fillId="0" borderId="1" xfId="1" applyFont="1" applyBorder="1" applyAlignment="1">
      <alignment vertical="center"/>
    </xf>
    <xf numFmtId="0" fontId="0" fillId="0" borderId="0" xfId="0" applyAlignment="1">
      <alignment vertical="center"/>
    </xf>
    <xf numFmtId="43" fontId="0" fillId="0" borderId="1" xfId="1" applyFont="1" applyFill="1" applyBorder="1" applyAlignment="1">
      <alignment vertical="center"/>
    </xf>
    <xf numFmtId="1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15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43" fontId="0" fillId="0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5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43" fontId="0" fillId="2" borderId="1" xfId="1" applyFont="1" applyFill="1" applyBorder="1" applyAlignment="1">
      <alignment vertical="center"/>
    </xf>
    <xf numFmtId="43" fontId="0" fillId="0" borderId="6" xfId="0" applyNumberForma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15" fontId="0" fillId="2" borderId="8" xfId="0" applyNumberFormat="1" applyFill="1" applyBorder="1" applyAlignment="1">
      <alignment vertical="center"/>
    </xf>
    <xf numFmtId="0" fontId="0" fillId="0" borderId="8" xfId="0" applyFill="1" applyBorder="1" applyAlignment="1">
      <alignment vertical="center" wrapText="1"/>
    </xf>
    <xf numFmtId="43" fontId="0" fillId="0" borderId="8" xfId="1" applyFont="1" applyFill="1" applyBorder="1" applyAlignment="1">
      <alignment vertical="center"/>
    </xf>
    <xf numFmtId="43" fontId="0" fillId="0" borderId="9" xfId="0" applyNumberForma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15" fontId="0" fillId="2" borderId="3" xfId="0" applyNumberFormat="1" applyFill="1" applyBorder="1" applyAlignment="1">
      <alignment vertical="center"/>
    </xf>
    <xf numFmtId="0" fontId="0" fillId="0" borderId="3" xfId="0" applyFill="1" applyBorder="1" applyAlignment="1">
      <alignment vertical="center" wrapText="1"/>
    </xf>
    <xf numFmtId="43" fontId="0" fillId="0" borderId="3" xfId="1" applyFont="1" applyFill="1" applyBorder="1" applyAlignment="1">
      <alignment vertical="center"/>
    </xf>
    <xf numFmtId="43" fontId="0" fillId="0" borderId="4" xfId="0" applyNumberFormat="1" applyFill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43" fontId="0" fillId="0" borderId="1" xfId="0" applyNumberFormat="1" applyBorder="1" applyAlignment="1">
      <alignment vertical="center"/>
    </xf>
    <xf numFmtId="43" fontId="0" fillId="2" borderId="1" xfId="0" applyNumberFormat="1" applyFill="1" applyBorder="1" applyAlignment="1">
      <alignment vertical="center"/>
    </xf>
    <xf numFmtId="43" fontId="6" fillId="0" borderId="14" xfId="1" applyFont="1" applyBorder="1"/>
    <xf numFmtId="43" fontId="6" fillId="0" borderId="12" xfId="1" applyFont="1" applyBorder="1"/>
    <xf numFmtId="43" fontId="6" fillId="0" borderId="14" xfId="1" applyFont="1" applyBorder="1" applyAlignment="1">
      <alignment horizontal="center" vertical="center"/>
    </xf>
    <xf numFmtId="43" fontId="6" fillId="0" borderId="12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1" xfId="0" applyBorder="1"/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0" xfId="1" applyNumberFormat="1" applyFont="1"/>
    <xf numFmtId="164" fontId="0" fillId="0" borderId="30" xfId="1" applyNumberFormat="1" applyFont="1" applyBorder="1" applyAlignment="1">
      <alignment horizontal="center" vertical="center"/>
    </xf>
    <xf numFmtId="164" fontId="0" fillId="0" borderId="1" xfId="1" applyNumberFormat="1" applyFont="1" applyBorder="1"/>
    <xf numFmtId="0" fontId="0" fillId="0" borderId="1" xfId="0" applyFill="1" applyBorder="1" applyAlignment="1">
      <alignment vertical="center"/>
    </xf>
    <xf numFmtId="43" fontId="7" fillId="0" borderId="16" xfId="1" applyFont="1" applyFill="1" applyBorder="1" applyAlignment="1">
      <alignment horizontal="center" vertical="center"/>
    </xf>
    <xf numFmtId="43" fontId="7" fillId="0" borderId="21" xfId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" fontId="4" fillId="2" borderId="1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" fontId="4" fillId="2" borderId="12" xfId="0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10" fillId="0" borderId="15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I171"/>
  <sheetViews>
    <sheetView workbookViewId="0">
      <selection activeCell="F9" sqref="F9"/>
    </sheetView>
  </sheetViews>
  <sheetFormatPr defaultRowHeight="15"/>
  <cols>
    <col min="1" max="1" width="4.42578125" customWidth="1"/>
    <col min="4" max="4" width="28" customWidth="1"/>
    <col min="6" max="6" width="23" customWidth="1"/>
    <col min="8" max="8" width="11.28515625" customWidth="1"/>
    <col min="9" max="9" width="14.42578125" customWidth="1"/>
  </cols>
  <sheetData>
    <row r="4" spans="1:9" ht="15.75" thickBot="1"/>
    <row r="5" spans="1:9" ht="16.5" thickBot="1">
      <c r="A5" s="58" t="s">
        <v>135</v>
      </c>
      <c r="B5" s="60" t="s">
        <v>136</v>
      </c>
      <c r="C5" s="62" t="s">
        <v>137</v>
      </c>
      <c r="D5" s="64" t="s">
        <v>138</v>
      </c>
      <c r="E5" s="66" t="s">
        <v>139</v>
      </c>
      <c r="F5" s="68" t="s">
        <v>140</v>
      </c>
      <c r="G5" s="43" t="s">
        <v>141</v>
      </c>
      <c r="H5" s="44" t="s">
        <v>141</v>
      </c>
      <c r="I5" s="56" t="s">
        <v>142</v>
      </c>
    </row>
    <row r="6" spans="1:9" ht="16.5" thickBot="1">
      <c r="A6" s="59"/>
      <c r="B6" s="61"/>
      <c r="C6" s="63"/>
      <c r="D6" s="65"/>
      <c r="E6" s="67"/>
      <c r="F6" s="69"/>
      <c r="G6" s="45" t="s">
        <v>3</v>
      </c>
      <c r="H6" s="46" t="s">
        <v>4</v>
      </c>
      <c r="I6" s="57"/>
    </row>
    <row r="8" spans="1:9">
      <c r="A8" s="3"/>
      <c r="B8" s="3"/>
      <c r="C8" s="3" t="s">
        <v>143</v>
      </c>
      <c r="D8" s="3" t="s">
        <v>144</v>
      </c>
      <c r="E8" s="3"/>
      <c r="F8" s="3"/>
      <c r="G8" s="3"/>
      <c r="H8" s="3"/>
      <c r="I8" s="3">
        <v>82456.509999999995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  <row r="102" spans="1:9">
      <c r="A102" s="3"/>
      <c r="B102" s="3"/>
      <c r="C102" s="3"/>
      <c r="D102" s="3"/>
      <c r="E102" s="3"/>
      <c r="F102" s="3"/>
      <c r="G102" s="3"/>
      <c r="H102" s="3"/>
      <c r="I102" s="3"/>
    </row>
    <row r="103" spans="1:9">
      <c r="A103" s="3"/>
      <c r="B103" s="3"/>
      <c r="C103" s="3"/>
      <c r="D103" s="3"/>
      <c r="E103" s="3"/>
      <c r="F103" s="3"/>
      <c r="G103" s="3"/>
      <c r="H103" s="3"/>
      <c r="I103" s="3"/>
    </row>
    <row r="104" spans="1:9">
      <c r="A104" s="3"/>
      <c r="B104" s="3"/>
      <c r="C104" s="3"/>
      <c r="D104" s="3"/>
      <c r="E104" s="3"/>
      <c r="F104" s="3"/>
      <c r="G104" s="3"/>
      <c r="H104" s="3"/>
      <c r="I104" s="3"/>
    </row>
    <row r="105" spans="1:9">
      <c r="A105" s="3"/>
      <c r="B105" s="3"/>
      <c r="C105" s="3"/>
      <c r="D105" s="3"/>
      <c r="E105" s="3"/>
      <c r="F105" s="3"/>
      <c r="G105" s="3"/>
      <c r="H105" s="3"/>
      <c r="I105" s="3"/>
    </row>
    <row r="106" spans="1:9">
      <c r="A106" s="3"/>
      <c r="B106" s="3"/>
      <c r="C106" s="3"/>
      <c r="D106" s="3"/>
      <c r="E106" s="3"/>
      <c r="F106" s="3"/>
      <c r="G106" s="3"/>
      <c r="H106" s="3"/>
      <c r="I106" s="3"/>
    </row>
    <row r="107" spans="1:9">
      <c r="A107" s="3"/>
      <c r="B107" s="3"/>
      <c r="C107" s="3"/>
      <c r="D107" s="3"/>
      <c r="E107" s="3"/>
      <c r="F107" s="3"/>
      <c r="G107" s="3"/>
      <c r="H107" s="3"/>
      <c r="I107" s="3"/>
    </row>
    <row r="108" spans="1:9">
      <c r="A108" s="3"/>
      <c r="B108" s="3"/>
      <c r="C108" s="3"/>
      <c r="D108" s="3"/>
      <c r="E108" s="3"/>
      <c r="F108" s="3"/>
      <c r="G108" s="3"/>
      <c r="H108" s="3"/>
      <c r="I108" s="3"/>
    </row>
    <row r="109" spans="1:9">
      <c r="A109" s="3"/>
      <c r="B109" s="3"/>
      <c r="C109" s="3"/>
      <c r="D109" s="3"/>
      <c r="E109" s="3"/>
      <c r="F109" s="3"/>
      <c r="G109" s="3"/>
      <c r="H109" s="3"/>
      <c r="I109" s="3"/>
    </row>
    <row r="110" spans="1:9">
      <c r="A110" s="3"/>
      <c r="B110" s="3"/>
      <c r="C110" s="3"/>
      <c r="D110" s="3"/>
      <c r="E110" s="3"/>
      <c r="F110" s="3"/>
      <c r="G110" s="3"/>
      <c r="H110" s="3"/>
      <c r="I110" s="3"/>
    </row>
    <row r="111" spans="1:9">
      <c r="A111" s="3"/>
      <c r="B111" s="3"/>
      <c r="C111" s="3"/>
      <c r="D111" s="3"/>
      <c r="E111" s="3"/>
      <c r="F111" s="3"/>
      <c r="G111" s="3"/>
      <c r="H111" s="3"/>
      <c r="I111" s="3"/>
    </row>
    <row r="112" spans="1:9">
      <c r="A112" s="3"/>
      <c r="B112" s="3"/>
      <c r="C112" s="3"/>
      <c r="D112" s="3"/>
      <c r="E112" s="3"/>
      <c r="F112" s="3"/>
      <c r="G112" s="3"/>
      <c r="H112" s="3"/>
      <c r="I112" s="3"/>
    </row>
    <row r="113" spans="1:9">
      <c r="A113" s="3"/>
      <c r="B113" s="3"/>
      <c r="C113" s="3"/>
      <c r="D113" s="3"/>
      <c r="E113" s="3"/>
      <c r="F113" s="3"/>
      <c r="G113" s="3"/>
      <c r="H113" s="3"/>
      <c r="I113" s="3"/>
    </row>
    <row r="114" spans="1:9">
      <c r="A114" s="3"/>
      <c r="B114" s="3"/>
      <c r="C114" s="3"/>
      <c r="D114" s="3"/>
      <c r="E114" s="3"/>
      <c r="F114" s="3"/>
      <c r="G114" s="3"/>
      <c r="H114" s="3"/>
      <c r="I114" s="3"/>
    </row>
    <row r="115" spans="1:9">
      <c r="A115" s="3"/>
      <c r="B115" s="3"/>
      <c r="C115" s="3"/>
      <c r="D115" s="3"/>
      <c r="E115" s="3"/>
      <c r="F115" s="3"/>
      <c r="G115" s="3"/>
      <c r="H115" s="3"/>
      <c r="I115" s="3"/>
    </row>
    <row r="116" spans="1:9">
      <c r="A116" s="3"/>
      <c r="B116" s="3"/>
      <c r="C116" s="3"/>
      <c r="D116" s="3"/>
      <c r="E116" s="3"/>
      <c r="F116" s="3"/>
      <c r="G116" s="3"/>
      <c r="H116" s="3"/>
      <c r="I116" s="3"/>
    </row>
    <row r="117" spans="1:9">
      <c r="A117" s="3"/>
      <c r="B117" s="3"/>
      <c r="C117" s="3"/>
      <c r="D117" s="3"/>
      <c r="E117" s="3"/>
      <c r="F117" s="3"/>
      <c r="G117" s="3"/>
      <c r="H117" s="3"/>
      <c r="I117" s="3"/>
    </row>
    <row r="118" spans="1:9">
      <c r="A118" s="3"/>
      <c r="B118" s="3"/>
      <c r="C118" s="3"/>
      <c r="D118" s="3"/>
      <c r="E118" s="3"/>
      <c r="F118" s="3"/>
      <c r="G118" s="3"/>
      <c r="H118" s="3"/>
      <c r="I118" s="3"/>
    </row>
    <row r="119" spans="1:9">
      <c r="A119" s="3"/>
      <c r="B119" s="3"/>
      <c r="C119" s="3"/>
      <c r="D119" s="3"/>
      <c r="E119" s="3"/>
      <c r="F119" s="3"/>
      <c r="G119" s="3"/>
      <c r="H119" s="3"/>
      <c r="I119" s="3"/>
    </row>
    <row r="120" spans="1:9">
      <c r="A120" s="3"/>
      <c r="B120" s="3"/>
      <c r="C120" s="3"/>
      <c r="D120" s="3"/>
      <c r="E120" s="3"/>
      <c r="F120" s="3"/>
      <c r="G120" s="3"/>
      <c r="H120" s="3"/>
      <c r="I120" s="3"/>
    </row>
    <row r="121" spans="1:9">
      <c r="A121" s="3"/>
      <c r="B121" s="3"/>
      <c r="C121" s="3"/>
      <c r="D121" s="3"/>
      <c r="E121" s="3"/>
      <c r="F121" s="3"/>
      <c r="G121" s="3"/>
      <c r="H121" s="3"/>
      <c r="I121" s="3"/>
    </row>
    <row r="122" spans="1:9">
      <c r="A122" s="3"/>
      <c r="B122" s="3"/>
      <c r="C122" s="3"/>
      <c r="D122" s="3"/>
      <c r="E122" s="3"/>
      <c r="F122" s="3"/>
      <c r="G122" s="3"/>
      <c r="H122" s="3"/>
      <c r="I122" s="3"/>
    </row>
    <row r="123" spans="1:9">
      <c r="A123" s="3"/>
      <c r="B123" s="3"/>
      <c r="C123" s="3"/>
      <c r="D123" s="3"/>
      <c r="E123" s="3"/>
      <c r="F123" s="3"/>
      <c r="G123" s="3"/>
      <c r="H123" s="3"/>
      <c r="I123" s="3"/>
    </row>
    <row r="124" spans="1:9">
      <c r="A124" s="3"/>
      <c r="B124" s="3"/>
      <c r="C124" s="3"/>
      <c r="D124" s="3"/>
      <c r="E124" s="3"/>
      <c r="F124" s="3"/>
      <c r="G124" s="3"/>
      <c r="H124" s="3"/>
      <c r="I124" s="3"/>
    </row>
    <row r="125" spans="1:9">
      <c r="A125" s="3"/>
      <c r="B125" s="3"/>
      <c r="C125" s="3"/>
      <c r="D125" s="3"/>
      <c r="E125" s="3"/>
      <c r="F125" s="3"/>
      <c r="G125" s="3"/>
      <c r="H125" s="3"/>
      <c r="I125" s="3"/>
    </row>
    <row r="126" spans="1:9">
      <c r="A126" s="3"/>
      <c r="B126" s="3"/>
      <c r="C126" s="3"/>
      <c r="D126" s="3"/>
      <c r="E126" s="3"/>
      <c r="F126" s="3"/>
      <c r="G126" s="3"/>
      <c r="H126" s="3"/>
      <c r="I126" s="3"/>
    </row>
    <row r="127" spans="1:9">
      <c r="A127" s="3"/>
      <c r="B127" s="3"/>
      <c r="C127" s="3"/>
      <c r="D127" s="3"/>
      <c r="E127" s="3"/>
      <c r="F127" s="3"/>
      <c r="G127" s="3"/>
      <c r="H127" s="3"/>
      <c r="I127" s="3"/>
    </row>
    <row r="128" spans="1:9">
      <c r="A128" s="3"/>
      <c r="B128" s="3"/>
      <c r="C128" s="3"/>
      <c r="D128" s="3"/>
      <c r="E128" s="3"/>
      <c r="F128" s="3"/>
      <c r="G128" s="3"/>
      <c r="H128" s="3"/>
      <c r="I128" s="3"/>
    </row>
    <row r="129" spans="1:9">
      <c r="A129" s="3"/>
      <c r="B129" s="3"/>
      <c r="C129" s="3"/>
      <c r="D129" s="3"/>
      <c r="E129" s="3"/>
      <c r="F129" s="3"/>
      <c r="G129" s="3"/>
      <c r="H129" s="3"/>
      <c r="I129" s="3"/>
    </row>
    <row r="130" spans="1:9">
      <c r="A130" s="3"/>
      <c r="B130" s="3"/>
      <c r="C130" s="3"/>
      <c r="D130" s="3"/>
      <c r="E130" s="3"/>
      <c r="F130" s="3"/>
      <c r="G130" s="3"/>
      <c r="H130" s="3"/>
      <c r="I130" s="3"/>
    </row>
    <row r="131" spans="1:9">
      <c r="A131" s="3"/>
      <c r="B131" s="3"/>
      <c r="C131" s="3"/>
      <c r="D131" s="3"/>
      <c r="E131" s="3"/>
      <c r="F131" s="3"/>
      <c r="G131" s="3"/>
      <c r="H131" s="3"/>
      <c r="I131" s="3"/>
    </row>
    <row r="132" spans="1:9">
      <c r="A132" s="3"/>
      <c r="B132" s="3"/>
      <c r="C132" s="3"/>
      <c r="D132" s="3"/>
      <c r="E132" s="3"/>
      <c r="F132" s="3"/>
      <c r="G132" s="3"/>
      <c r="H132" s="3"/>
      <c r="I132" s="3"/>
    </row>
    <row r="133" spans="1:9">
      <c r="A133" s="3"/>
      <c r="B133" s="3"/>
      <c r="C133" s="3"/>
      <c r="D133" s="3"/>
      <c r="E133" s="3"/>
      <c r="F133" s="3"/>
      <c r="G133" s="3"/>
      <c r="H133" s="3"/>
      <c r="I133" s="3"/>
    </row>
    <row r="134" spans="1:9">
      <c r="A134" s="3"/>
      <c r="B134" s="3"/>
      <c r="C134" s="3"/>
      <c r="D134" s="3"/>
      <c r="E134" s="3"/>
      <c r="F134" s="3"/>
      <c r="G134" s="3"/>
      <c r="H134" s="3"/>
      <c r="I134" s="3"/>
    </row>
    <row r="135" spans="1:9">
      <c r="A135" s="3"/>
      <c r="B135" s="3"/>
      <c r="C135" s="3"/>
      <c r="D135" s="3"/>
      <c r="E135" s="3"/>
      <c r="F135" s="3"/>
      <c r="G135" s="3"/>
      <c r="H135" s="3"/>
      <c r="I135" s="3"/>
    </row>
    <row r="136" spans="1:9">
      <c r="A136" s="3"/>
      <c r="B136" s="3"/>
      <c r="C136" s="3"/>
      <c r="D136" s="3"/>
      <c r="E136" s="3"/>
      <c r="F136" s="3"/>
      <c r="G136" s="3"/>
      <c r="H136" s="3"/>
      <c r="I136" s="3"/>
    </row>
    <row r="137" spans="1:9">
      <c r="A137" s="3"/>
      <c r="B137" s="3"/>
      <c r="C137" s="3"/>
      <c r="D137" s="3"/>
      <c r="E137" s="3"/>
      <c r="F137" s="3"/>
      <c r="G137" s="3"/>
      <c r="H137" s="3"/>
      <c r="I137" s="3"/>
    </row>
    <row r="138" spans="1:9">
      <c r="A138" s="3"/>
      <c r="B138" s="3"/>
      <c r="C138" s="3"/>
      <c r="D138" s="3"/>
      <c r="E138" s="3"/>
      <c r="F138" s="3"/>
      <c r="G138" s="3"/>
      <c r="H138" s="3"/>
      <c r="I138" s="3"/>
    </row>
    <row r="139" spans="1:9">
      <c r="A139" s="3"/>
      <c r="B139" s="3"/>
      <c r="C139" s="3"/>
      <c r="D139" s="3"/>
      <c r="E139" s="3"/>
      <c r="F139" s="3"/>
      <c r="G139" s="3"/>
      <c r="H139" s="3"/>
      <c r="I139" s="3"/>
    </row>
    <row r="140" spans="1:9">
      <c r="A140" s="3"/>
      <c r="B140" s="3"/>
      <c r="C140" s="3"/>
      <c r="D140" s="3"/>
      <c r="E140" s="3"/>
      <c r="F140" s="3"/>
      <c r="G140" s="3"/>
      <c r="H140" s="3"/>
      <c r="I140" s="3"/>
    </row>
    <row r="141" spans="1:9">
      <c r="A141" s="3"/>
      <c r="B141" s="3"/>
      <c r="C141" s="3"/>
      <c r="D141" s="3"/>
      <c r="E141" s="3"/>
      <c r="F141" s="3"/>
      <c r="G141" s="3"/>
      <c r="H141" s="3"/>
      <c r="I141" s="3"/>
    </row>
    <row r="142" spans="1:9">
      <c r="A142" s="3"/>
      <c r="B142" s="3"/>
      <c r="C142" s="3"/>
      <c r="D142" s="3"/>
      <c r="E142" s="3"/>
      <c r="F142" s="3"/>
      <c r="G142" s="3"/>
      <c r="H142" s="3"/>
      <c r="I142" s="3"/>
    </row>
    <row r="143" spans="1:9">
      <c r="A143" s="3"/>
      <c r="B143" s="3"/>
      <c r="C143" s="3"/>
      <c r="D143" s="3"/>
      <c r="E143" s="3"/>
      <c r="F143" s="3"/>
      <c r="G143" s="3"/>
      <c r="H143" s="3"/>
      <c r="I143" s="3"/>
    </row>
    <row r="144" spans="1:9">
      <c r="A144" s="3"/>
      <c r="B144" s="3"/>
      <c r="C144" s="3"/>
      <c r="D144" s="3"/>
      <c r="E144" s="3"/>
      <c r="F144" s="3"/>
      <c r="G144" s="3"/>
      <c r="H144" s="3"/>
      <c r="I144" s="3"/>
    </row>
    <row r="145" spans="1:9">
      <c r="A145" s="3"/>
      <c r="B145" s="3"/>
      <c r="C145" s="3"/>
      <c r="D145" s="3"/>
      <c r="E145" s="3"/>
      <c r="F145" s="3"/>
      <c r="G145" s="3"/>
      <c r="H145" s="3"/>
      <c r="I145" s="3"/>
    </row>
    <row r="146" spans="1:9">
      <c r="A146" s="3"/>
      <c r="B146" s="3"/>
      <c r="C146" s="3"/>
      <c r="D146" s="3"/>
      <c r="E146" s="3"/>
      <c r="F146" s="3"/>
      <c r="G146" s="3"/>
      <c r="H146" s="3"/>
      <c r="I146" s="3"/>
    </row>
    <row r="147" spans="1:9">
      <c r="A147" s="3"/>
      <c r="B147" s="3"/>
      <c r="C147" s="3"/>
      <c r="D147" s="3"/>
      <c r="E147" s="3"/>
      <c r="F147" s="3"/>
      <c r="G147" s="3"/>
      <c r="H147" s="3"/>
      <c r="I147" s="3"/>
    </row>
    <row r="148" spans="1:9">
      <c r="A148" s="3"/>
      <c r="B148" s="3"/>
      <c r="C148" s="3"/>
      <c r="D148" s="3"/>
      <c r="E148" s="3"/>
      <c r="F148" s="3"/>
      <c r="G148" s="3"/>
      <c r="H148" s="3"/>
      <c r="I148" s="3"/>
    </row>
    <row r="149" spans="1:9">
      <c r="A149" s="3"/>
      <c r="B149" s="3"/>
      <c r="C149" s="3"/>
      <c r="D149" s="3"/>
      <c r="E149" s="3"/>
      <c r="F149" s="3"/>
      <c r="G149" s="3"/>
      <c r="H149" s="3"/>
      <c r="I149" s="3"/>
    </row>
    <row r="150" spans="1:9">
      <c r="A150" s="3"/>
      <c r="B150" s="3"/>
      <c r="C150" s="3"/>
      <c r="D150" s="3"/>
      <c r="E150" s="3"/>
      <c r="F150" s="3"/>
      <c r="G150" s="3"/>
      <c r="H150" s="3"/>
      <c r="I150" s="3"/>
    </row>
    <row r="151" spans="1:9">
      <c r="A151" s="3"/>
      <c r="B151" s="3"/>
      <c r="C151" s="3"/>
      <c r="D151" s="3"/>
      <c r="E151" s="3"/>
      <c r="F151" s="3"/>
      <c r="G151" s="3"/>
      <c r="H151" s="3"/>
      <c r="I151" s="3"/>
    </row>
    <row r="152" spans="1:9">
      <c r="A152" s="3"/>
      <c r="B152" s="3"/>
      <c r="C152" s="3"/>
      <c r="D152" s="3"/>
      <c r="E152" s="3"/>
      <c r="F152" s="3"/>
      <c r="G152" s="3"/>
      <c r="H152" s="3"/>
      <c r="I152" s="3"/>
    </row>
    <row r="153" spans="1:9">
      <c r="A153" s="3"/>
      <c r="B153" s="3"/>
      <c r="C153" s="3"/>
      <c r="D153" s="3"/>
      <c r="E153" s="3"/>
      <c r="F153" s="3"/>
      <c r="G153" s="3"/>
      <c r="H153" s="3"/>
      <c r="I153" s="3"/>
    </row>
    <row r="154" spans="1:9">
      <c r="A154" s="3"/>
      <c r="B154" s="3"/>
      <c r="C154" s="3"/>
      <c r="D154" s="3"/>
      <c r="E154" s="3"/>
      <c r="F154" s="3"/>
      <c r="G154" s="3"/>
      <c r="H154" s="3"/>
      <c r="I154" s="3"/>
    </row>
    <row r="155" spans="1:9">
      <c r="A155" s="3"/>
      <c r="B155" s="3"/>
      <c r="C155" s="3"/>
      <c r="D155" s="3"/>
      <c r="E155" s="3"/>
      <c r="F155" s="3"/>
      <c r="G155" s="3"/>
      <c r="H155" s="3"/>
      <c r="I155" s="3"/>
    </row>
    <row r="156" spans="1:9">
      <c r="A156" s="3"/>
      <c r="B156" s="3"/>
      <c r="C156" s="3"/>
      <c r="D156" s="3"/>
      <c r="E156" s="3"/>
      <c r="F156" s="3"/>
      <c r="G156" s="3"/>
      <c r="H156" s="3"/>
      <c r="I156" s="3"/>
    </row>
    <row r="157" spans="1:9">
      <c r="A157" s="3"/>
      <c r="B157" s="3"/>
      <c r="C157" s="3"/>
      <c r="D157" s="3"/>
      <c r="E157" s="3"/>
      <c r="F157" s="3"/>
      <c r="G157" s="3"/>
      <c r="H157" s="3"/>
      <c r="I157" s="3"/>
    </row>
    <row r="158" spans="1:9">
      <c r="A158" s="3"/>
      <c r="B158" s="3"/>
      <c r="C158" s="3"/>
      <c r="D158" s="3"/>
      <c r="E158" s="3"/>
      <c r="F158" s="3"/>
      <c r="G158" s="3"/>
      <c r="H158" s="3"/>
      <c r="I158" s="3"/>
    </row>
    <row r="159" spans="1:9">
      <c r="A159" s="3"/>
      <c r="B159" s="3"/>
      <c r="C159" s="3"/>
      <c r="D159" s="3"/>
      <c r="E159" s="3"/>
      <c r="F159" s="3"/>
      <c r="G159" s="3"/>
      <c r="H159" s="3"/>
      <c r="I159" s="3"/>
    </row>
    <row r="160" spans="1:9">
      <c r="A160" s="3"/>
      <c r="B160" s="3"/>
      <c r="C160" s="3"/>
      <c r="D160" s="3"/>
      <c r="E160" s="3"/>
      <c r="F160" s="3"/>
      <c r="G160" s="3"/>
      <c r="H160" s="3"/>
      <c r="I160" s="3"/>
    </row>
    <row r="161" spans="1:9">
      <c r="A161" s="3"/>
      <c r="B161" s="3"/>
      <c r="C161" s="3"/>
      <c r="D161" s="3"/>
      <c r="E161" s="3"/>
      <c r="F161" s="3"/>
      <c r="G161" s="3"/>
      <c r="H161" s="3"/>
      <c r="I161" s="3"/>
    </row>
    <row r="162" spans="1:9">
      <c r="A162" s="3"/>
      <c r="B162" s="3"/>
      <c r="C162" s="3"/>
      <c r="D162" s="3"/>
      <c r="E162" s="3"/>
      <c r="F162" s="3"/>
      <c r="G162" s="3"/>
      <c r="H162" s="3"/>
      <c r="I162" s="3"/>
    </row>
    <row r="163" spans="1:9">
      <c r="A163" s="3"/>
      <c r="B163" s="3"/>
      <c r="C163" s="3"/>
      <c r="D163" s="3"/>
      <c r="E163" s="3"/>
      <c r="F163" s="3"/>
      <c r="G163" s="3"/>
      <c r="H163" s="3"/>
      <c r="I163" s="3"/>
    </row>
    <row r="164" spans="1:9">
      <c r="A164" s="3"/>
      <c r="B164" s="3"/>
      <c r="C164" s="3"/>
      <c r="D164" s="3"/>
      <c r="E164" s="3"/>
      <c r="F164" s="3"/>
      <c r="G164" s="3"/>
      <c r="H164" s="3"/>
      <c r="I164" s="3"/>
    </row>
    <row r="165" spans="1:9">
      <c r="A165" s="3"/>
      <c r="B165" s="3"/>
      <c r="C165" s="3"/>
      <c r="D165" s="3"/>
      <c r="E165" s="3"/>
      <c r="F165" s="3"/>
      <c r="G165" s="3"/>
      <c r="H165" s="3"/>
      <c r="I165" s="3"/>
    </row>
    <row r="166" spans="1:9">
      <c r="A166" s="3"/>
      <c r="B166" s="3"/>
      <c r="C166" s="3"/>
      <c r="D166" s="3"/>
      <c r="E166" s="3"/>
      <c r="F166" s="3"/>
      <c r="G166" s="3"/>
      <c r="H166" s="3"/>
      <c r="I166" s="3"/>
    </row>
    <row r="167" spans="1:9">
      <c r="A167" s="3"/>
      <c r="B167" s="3"/>
      <c r="C167" s="3"/>
      <c r="D167" s="3"/>
      <c r="E167" s="3"/>
      <c r="F167" s="3"/>
      <c r="G167" s="3"/>
      <c r="H167" s="3"/>
      <c r="I167" s="3"/>
    </row>
    <row r="168" spans="1:9">
      <c r="A168" s="3"/>
      <c r="B168" s="3"/>
      <c r="C168" s="3"/>
      <c r="D168" s="3"/>
      <c r="E168" s="3"/>
      <c r="F168" s="3"/>
      <c r="G168" s="3"/>
      <c r="H168" s="3"/>
      <c r="I168" s="3"/>
    </row>
    <row r="169" spans="1:9">
      <c r="A169" s="3"/>
      <c r="B169" s="3"/>
      <c r="C169" s="3"/>
      <c r="D169" s="3"/>
      <c r="E169" s="3"/>
      <c r="F169" s="3"/>
      <c r="G169" s="3"/>
      <c r="H169" s="3"/>
      <c r="I169" s="3"/>
    </row>
    <row r="170" spans="1:9">
      <c r="A170" s="3"/>
      <c r="B170" s="3"/>
      <c r="C170" s="3"/>
      <c r="D170" s="3"/>
      <c r="E170" s="3"/>
      <c r="F170" s="3"/>
      <c r="G170" s="3"/>
      <c r="H170" s="3"/>
      <c r="I170" s="3"/>
    </row>
    <row r="171" spans="1:9">
      <c r="A171" s="3"/>
      <c r="B171" s="3"/>
      <c r="C171" s="3"/>
      <c r="D171" s="3"/>
      <c r="E171" s="3"/>
      <c r="F171" s="3"/>
      <c r="G171" s="3"/>
      <c r="H171" s="3"/>
      <c r="I171" s="3"/>
    </row>
  </sheetData>
  <mergeCells count="7">
    <mergeCell ref="I5:I6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9"/>
  <sheetViews>
    <sheetView tabSelected="1" topLeftCell="A22" workbookViewId="0">
      <selection activeCell="C25" sqref="C25"/>
    </sheetView>
  </sheetViews>
  <sheetFormatPr defaultRowHeight="15"/>
  <cols>
    <col min="1" max="1" width="6.5703125" customWidth="1"/>
    <col min="2" max="2" width="13.5703125" customWidth="1"/>
    <col min="3" max="3" width="54.42578125" style="8" customWidth="1"/>
    <col min="4" max="4" width="17.28515625" style="16" customWidth="1"/>
    <col min="5" max="5" width="18.42578125" customWidth="1"/>
    <col min="6" max="6" width="19" customWidth="1"/>
    <col min="7" max="7" width="11.5703125" bestFit="1" customWidth="1"/>
    <col min="9" max="9" width="17.140625" customWidth="1"/>
    <col min="11" max="11" width="12.28515625" bestFit="1" customWidth="1"/>
  </cols>
  <sheetData>
    <row r="1" spans="1:12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2">
      <c r="C3" s="74" t="s">
        <v>6</v>
      </c>
      <c r="D3" s="74"/>
      <c r="E3" s="74"/>
    </row>
    <row r="4" spans="1:12">
      <c r="A4" s="2" t="s">
        <v>1</v>
      </c>
      <c r="B4" s="2" t="s">
        <v>7</v>
      </c>
      <c r="C4" s="39" t="s">
        <v>2</v>
      </c>
      <c r="D4" s="40" t="s">
        <v>3</v>
      </c>
      <c r="E4" s="2" t="s">
        <v>4</v>
      </c>
      <c r="F4" s="2" t="s">
        <v>5</v>
      </c>
    </row>
    <row r="5" spans="1:12">
      <c r="A5" s="14">
        <v>1</v>
      </c>
      <c r="B5" s="18" t="s">
        <v>21</v>
      </c>
      <c r="C5" s="19" t="s">
        <v>22</v>
      </c>
      <c r="D5" s="14">
        <v>0</v>
      </c>
      <c r="E5" s="15">
        <v>2995</v>
      </c>
      <c r="F5" s="41">
        <f>E5-D5</f>
        <v>2995</v>
      </c>
    </row>
    <row r="6" spans="1:12">
      <c r="A6" s="14">
        <v>2</v>
      </c>
      <c r="B6" s="18" t="s">
        <v>21</v>
      </c>
      <c r="C6" s="19" t="s">
        <v>39</v>
      </c>
      <c r="D6" s="14">
        <v>0</v>
      </c>
      <c r="E6" s="15">
        <v>2500</v>
      </c>
      <c r="F6" s="41">
        <f>F5+E6-D6</f>
        <v>5495</v>
      </c>
    </row>
    <row r="7" spans="1:12">
      <c r="A7" s="14">
        <v>3</v>
      </c>
      <c r="B7" s="18">
        <v>44989</v>
      </c>
      <c r="C7" s="19" t="s">
        <v>8</v>
      </c>
      <c r="D7" s="15">
        <v>0</v>
      </c>
      <c r="E7" s="15">
        <v>200000</v>
      </c>
      <c r="F7" s="41">
        <f t="shared" ref="F7:F44" si="0">F6+E7-D7</f>
        <v>205495</v>
      </c>
    </row>
    <row r="8" spans="1:12">
      <c r="A8" s="14">
        <v>4</v>
      </c>
      <c r="B8" s="18">
        <v>44990</v>
      </c>
      <c r="C8" s="19" t="s">
        <v>8</v>
      </c>
      <c r="D8" s="15">
        <v>0</v>
      </c>
      <c r="E8" s="15">
        <v>10000</v>
      </c>
      <c r="F8" s="41">
        <f t="shared" si="0"/>
        <v>215495</v>
      </c>
    </row>
    <row r="9" spans="1:12">
      <c r="A9" s="14">
        <v>5</v>
      </c>
      <c r="B9" s="18">
        <v>44990</v>
      </c>
      <c r="C9" s="19" t="s">
        <v>9</v>
      </c>
      <c r="D9" s="15">
        <v>208000</v>
      </c>
      <c r="E9" s="15">
        <v>0</v>
      </c>
      <c r="F9" s="41">
        <f t="shared" si="0"/>
        <v>7495</v>
      </c>
    </row>
    <row r="10" spans="1:12">
      <c r="A10" s="14">
        <v>6</v>
      </c>
      <c r="B10" s="18">
        <v>44990</v>
      </c>
      <c r="C10" s="19" t="s">
        <v>10</v>
      </c>
      <c r="D10" s="15">
        <v>0</v>
      </c>
      <c r="E10" s="15">
        <v>70000</v>
      </c>
      <c r="F10" s="41">
        <f t="shared" si="0"/>
        <v>77495</v>
      </c>
    </row>
    <row r="11" spans="1:12">
      <c r="A11" s="14">
        <v>7</v>
      </c>
      <c r="B11" s="18">
        <v>44990</v>
      </c>
      <c r="C11" s="19" t="s">
        <v>8</v>
      </c>
      <c r="D11" s="15">
        <v>0</v>
      </c>
      <c r="E11" s="15">
        <v>125000</v>
      </c>
      <c r="F11" s="41">
        <f t="shared" si="0"/>
        <v>202495</v>
      </c>
    </row>
    <row r="12" spans="1:12" ht="30">
      <c r="A12" s="14">
        <v>8</v>
      </c>
      <c r="B12" s="18">
        <v>44990</v>
      </c>
      <c r="C12" s="19" t="s">
        <v>11</v>
      </c>
      <c r="D12" s="15">
        <v>197000</v>
      </c>
      <c r="E12" s="15">
        <v>0</v>
      </c>
      <c r="F12" s="41">
        <f t="shared" si="0"/>
        <v>5495</v>
      </c>
      <c r="I12" s="15"/>
    </row>
    <row r="13" spans="1:12">
      <c r="A13" s="14">
        <v>9</v>
      </c>
      <c r="B13" s="18">
        <v>44990</v>
      </c>
      <c r="C13" s="19" t="s">
        <v>28</v>
      </c>
      <c r="D13" s="15">
        <v>10</v>
      </c>
      <c r="E13" s="15"/>
      <c r="F13" s="41">
        <f t="shared" si="0"/>
        <v>5485</v>
      </c>
      <c r="I13" s="17"/>
    </row>
    <row r="14" spans="1:12">
      <c r="A14" s="14">
        <v>10</v>
      </c>
      <c r="B14" s="18">
        <v>44990</v>
      </c>
      <c r="C14" s="19" t="s">
        <v>12</v>
      </c>
      <c r="D14" s="15">
        <v>0</v>
      </c>
      <c r="E14" s="15">
        <v>197000</v>
      </c>
      <c r="F14" s="41">
        <f t="shared" si="0"/>
        <v>202485</v>
      </c>
      <c r="I14" s="17"/>
    </row>
    <row r="15" spans="1:12">
      <c r="A15" s="14">
        <v>11</v>
      </c>
      <c r="B15" s="18">
        <v>44990</v>
      </c>
      <c r="C15" s="19" t="s">
        <v>13</v>
      </c>
      <c r="D15" s="15">
        <v>100</v>
      </c>
      <c r="E15" s="15">
        <v>0</v>
      </c>
      <c r="F15" s="41">
        <f t="shared" si="0"/>
        <v>202385</v>
      </c>
      <c r="I15" s="17"/>
    </row>
    <row r="16" spans="1:12">
      <c r="A16" s="14">
        <v>12</v>
      </c>
      <c r="B16" s="18">
        <v>44990</v>
      </c>
      <c r="C16" s="19" t="s">
        <v>15</v>
      </c>
      <c r="D16" s="15">
        <v>197000</v>
      </c>
      <c r="E16" s="15">
        <v>0</v>
      </c>
      <c r="F16" s="41">
        <f t="shared" si="0"/>
        <v>5385</v>
      </c>
    </row>
    <row r="17" spans="1:9">
      <c r="A17" s="14">
        <v>13</v>
      </c>
      <c r="B17" s="18">
        <v>44992</v>
      </c>
      <c r="C17" s="19" t="s">
        <v>14</v>
      </c>
      <c r="D17" s="15">
        <v>0</v>
      </c>
      <c r="E17" s="15">
        <v>197000</v>
      </c>
      <c r="F17" s="41">
        <f t="shared" si="0"/>
        <v>202385</v>
      </c>
      <c r="I17" s="1"/>
    </row>
    <row r="18" spans="1:9">
      <c r="A18" s="14">
        <v>14</v>
      </c>
      <c r="B18" s="18">
        <v>44992</v>
      </c>
      <c r="C18" s="19" t="s">
        <v>8</v>
      </c>
      <c r="D18" s="15">
        <v>0</v>
      </c>
      <c r="E18" s="15">
        <v>8000</v>
      </c>
      <c r="F18" s="41">
        <f t="shared" si="0"/>
        <v>210385</v>
      </c>
    </row>
    <row r="19" spans="1:9">
      <c r="A19" s="14">
        <v>15</v>
      </c>
      <c r="B19" s="18">
        <v>44992</v>
      </c>
      <c r="C19" s="19" t="s">
        <v>16</v>
      </c>
      <c r="D19" s="15">
        <v>10000</v>
      </c>
      <c r="E19" s="15">
        <v>0</v>
      </c>
      <c r="F19" s="41">
        <f t="shared" si="0"/>
        <v>200385</v>
      </c>
      <c r="I19" s="15"/>
    </row>
    <row r="20" spans="1:9">
      <c r="A20" s="14">
        <v>16</v>
      </c>
      <c r="B20" s="18">
        <v>44992</v>
      </c>
      <c r="C20" s="19" t="s">
        <v>28</v>
      </c>
      <c r="D20" s="15">
        <v>10</v>
      </c>
      <c r="E20" s="15"/>
      <c r="F20" s="41">
        <f t="shared" si="0"/>
        <v>200375</v>
      </c>
      <c r="I20" s="15"/>
    </row>
    <row r="21" spans="1:9">
      <c r="A21" s="14">
        <v>17</v>
      </c>
      <c r="B21" s="18">
        <v>44994</v>
      </c>
      <c r="C21" s="19" t="s">
        <v>17</v>
      </c>
      <c r="D21" s="15">
        <v>127000</v>
      </c>
      <c r="E21" s="15">
        <v>0</v>
      </c>
      <c r="F21" s="41">
        <f t="shared" si="0"/>
        <v>73375</v>
      </c>
      <c r="I21" s="17"/>
    </row>
    <row r="22" spans="1:9">
      <c r="A22" s="14">
        <v>18</v>
      </c>
      <c r="B22" s="18">
        <v>44994</v>
      </c>
      <c r="C22" s="19" t="s">
        <v>18</v>
      </c>
      <c r="D22" s="15">
        <v>70000</v>
      </c>
      <c r="E22" s="15">
        <v>0</v>
      </c>
      <c r="F22" s="41">
        <f t="shared" si="0"/>
        <v>3375</v>
      </c>
      <c r="I22" s="17"/>
    </row>
    <row r="23" spans="1:9">
      <c r="A23" s="14">
        <v>19</v>
      </c>
      <c r="B23" s="18">
        <v>44994</v>
      </c>
      <c r="C23" s="19" t="s">
        <v>28</v>
      </c>
      <c r="D23" s="15">
        <v>10</v>
      </c>
      <c r="E23" s="15">
        <v>0</v>
      </c>
      <c r="F23" s="41">
        <f t="shared" si="0"/>
        <v>3365</v>
      </c>
      <c r="I23" s="17"/>
    </row>
    <row r="24" spans="1:9">
      <c r="A24" s="14">
        <v>20</v>
      </c>
      <c r="B24" s="18">
        <v>44995</v>
      </c>
      <c r="C24" s="19" t="s">
        <v>19</v>
      </c>
      <c r="D24" s="15">
        <v>0</v>
      </c>
      <c r="E24" s="15">
        <v>54240</v>
      </c>
      <c r="F24" s="41">
        <f t="shared" si="0"/>
        <v>57605</v>
      </c>
      <c r="I24" s="17"/>
    </row>
    <row r="25" spans="1:9">
      <c r="A25" s="14">
        <v>21</v>
      </c>
      <c r="B25" s="18">
        <v>44995</v>
      </c>
      <c r="C25" s="19" t="s">
        <v>20</v>
      </c>
      <c r="D25" s="15">
        <v>34000</v>
      </c>
      <c r="E25" s="15">
        <v>0</v>
      </c>
      <c r="F25" s="41">
        <f t="shared" si="0"/>
        <v>23605</v>
      </c>
      <c r="I25" s="17"/>
    </row>
    <row r="26" spans="1:9">
      <c r="A26" s="14">
        <v>22</v>
      </c>
      <c r="B26" s="20">
        <v>44997</v>
      </c>
      <c r="C26" s="21" t="s">
        <v>29</v>
      </c>
      <c r="D26" s="17">
        <v>18996</v>
      </c>
      <c r="E26" s="17">
        <v>0</v>
      </c>
      <c r="F26" s="22">
        <f t="shared" si="0"/>
        <v>4609</v>
      </c>
      <c r="I26" s="17"/>
    </row>
    <row r="27" spans="1:9">
      <c r="A27" s="14">
        <v>23</v>
      </c>
      <c r="B27" s="20">
        <v>45000</v>
      </c>
      <c r="C27" s="21" t="s">
        <v>8</v>
      </c>
      <c r="D27" s="17">
        <v>0</v>
      </c>
      <c r="E27" s="17">
        <v>150000</v>
      </c>
      <c r="F27" s="22">
        <f t="shared" si="0"/>
        <v>154609</v>
      </c>
      <c r="I27" s="17"/>
    </row>
    <row r="28" spans="1:9">
      <c r="A28" s="14">
        <v>24</v>
      </c>
      <c r="B28" s="20">
        <v>45000</v>
      </c>
      <c r="C28" s="21" t="s">
        <v>30</v>
      </c>
      <c r="D28" s="17">
        <v>28510</v>
      </c>
      <c r="E28" s="17">
        <v>0</v>
      </c>
      <c r="F28" s="22">
        <f t="shared" si="0"/>
        <v>126099</v>
      </c>
      <c r="I28" s="17"/>
    </row>
    <row r="29" spans="1:9">
      <c r="A29" s="14">
        <v>25</v>
      </c>
      <c r="B29" s="20">
        <v>45000</v>
      </c>
      <c r="C29" s="21" t="s">
        <v>30</v>
      </c>
      <c r="D29" s="17">
        <v>27610</v>
      </c>
      <c r="E29" s="17">
        <v>0</v>
      </c>
      <c r="F29" s="22">
        <f t="shared" si="0"/>
        <v>98489</v>
      </c>
      <c r="I29" s="17"/>
    </row>
    <row r="30" spans="1:9" ht="30">
      <c r="A30" s="14">
        <v>26</v>
      </c>
      <c r="B30" s="20">
        <v>45002</v>
      </c>
      <c r="C30" s="21" t="s">
        <v>31</v>
      </c>
      <c r="D30" s="17">
        <v>0</v>
      </c>
      <c r="E30" s="17">
        <v>295000</v>
      </c>
      <c r="F30" s="22">
        <f t="shared" si="0"/>
        <v>393489</v>
      </c>
      <c r="I30" s="17"/>
    </row>
    <row r="31" spans="1:9" ht="30">
      <c r="A31" s="14">
        <v>27</v>
      </c>
      <c r="B31" s="20">
        <v>45002</v>
      </c>
      <c r="C31" s="21" t="s">
        <v>32</v>
      </c>
      <c r="D31" s="17">
        <v>100</v>
      </c>
      <c r="E31" s="17">
        <v>0</v>
      </c>
      <c r="F31" s="22">
        <f t="shared" si="0"/>
        <v>393389</v>
      </c>
      <c r="I31" s="17"/>
    </row>
    <row r="32" spans="1:9">
      <c r="A32" s="23">
        <v>28</v>
      </c>
      <c r="B32" s="24">
        <v>45002</v>
      </c>
      <c r="C32" s="25" t="s">
        <v>33</v>
      </c>
      <c r="D32" s="26">
        <v>200000</v>
      </c>
      <c r="E32" s="26">
        <v>0</v>
      </c>
      <c r="F32" s="42">
        <f t="shared" si="0"/>
        <v>193389</v>
      </c>
      <c r="I32" s="17"/>
    </row>
    <row r="33" spans="1:11" ht="12.75" customHeight="1">
      <c r="A33" s="14">
        <v>29</v>
      </c>
      <c r="B33" s="20">
        <v>45003</v>
      </c>
      <c r="C33" s="21" t="s">
        <v>34</v>
      </c>
      <c r="D33" s="17">
        <v>380</v>
      </c>
      <c r="E33" s="17">
        <v>0</v>
      </c>
      <c r="F33" s="22">
        <f t="shared" si="0"/>
        <v>193009</v>
      </c>
    </row>
    <row r="34" spans="1:11" ht="30">
      <c r="A34" s="14">
        <v>30</v>
      </c>
      <c r="B34" s="20">
        <v>45004</v>
      </c>
      <c r="C34" s="21" t="s">
        <v>35</v>
      </c>
      <c r="D34" s="17">
        <v>42272</v>
      </c>
      <c r="E34" s="17">
        <v>0</v>
      </c>
      <c r="F34" s="22">
        <f t="shared" si="0"/>
        <v>150737</v>
      </c>
      <c r="I34" s="1"/>
      <c r="K34" s="1">
        <f>I36-I17</f>
        <v>0</v>
      </c>
    </row>
    <row r="35" spans="1:11" ht="30">
      <c r="A35" s="14">
        <v>31</v>
      </c>
      <c r="B35" s="20">
        <v>45004</v>
      </c>
      <c r="C35" s="21" t="s">
        <v>36</v>
      </c>
      <c r="D35" s="17">
        <v>29000</v>
      </c>
      <c r="E35" s="17">
        <v>0</v>
      </c>
      <c r="F35" s="22">
        <f t="shared" si="0"/>
        <v>121737</v>
      </c>
      <c r="G35" t="s">
        <v>134</v>
      </c>
      <c r="I35" s="15"/>
    </row>
    <row r="36" spans="1:11">
      <c r="A36" s="14">
        <v>32</v>
      </c>
      <c r="B36" s="20">
        <v>45004</v>
      </c>
      <c r="C36" s="21" t="s">
        <v>37</v>
      </c>
      <c r="D36" s="17">
        <v>520</v>
      </c>
      <c r="E36" s="17">
        <v>0</v>
      </c>
      <c r="F36" s="22">
        <f t="shared" si="0"/>
        <v>121217</v>
      </c>
      <c r="I36" s="1"/>
    </row>
    <row r="37" spans="1:11" ht="30">
      <c r="A37" s="14">
        <v>33</v>
      </c>
      <c r="B37" s="20">
        <v>45004</v>
      </c>
      <c r="C37" s="21" t="s">
        <v>38</v>
      </c>
      <c r="D37" s="17">
        <v>2000</v>
      </c>
      <c r="E37" s="17">
        <v>0</v>
      </c>
      <c r="F37" s="22">
        <f t="shared" si="0"/>
        <v>119217</v>
      </c>
    </row>
    <row r="38" spans="1:11">
      <c r="A38" s="23">
        <v>34</v>
      </c>
      <c r="B38" s="24">
        <v>45004</v>
      </c>
      <c r="C38" s="25" t="s">
        <v>8</v>
      </c>
      <c r="D38" s="26">
        <v>0</v>
      </c>
      <c r="E38" s="26">
        <v>200000</v>
      </c>
      <c r="F38" s="22">
        <f t="shared" si="0"/>
        <v>319217</v>
      </c>
    </row>
    <row r="39" spans="1:11">
      <c r="A39" s="14">
        <v>35</v>
      </c>
      <c r="B39" s="24">
        <v>45005</v>
      </c>
      <c r="C39" s="21" t="s">
        <v>43</v>
      </c>
      <c r="D39" s="17">
        <v>150000</v>
      </c>
      <c r="E39" s="17">
        <v>0</v>
      </c>
      <c r="F39" s="22">
        <f t="shared" si="0"/>
        <v>169217</v>
      </c>
    </row>
    <row r="40" spans="1:11">
      <c r="A40" s="23">
        <v>36</v>
      </c>
      <c r="B40" s="24">
        <v>45006</v>
      </c>
      <c r="C40" s="21" t="s">
        <v>44</v>
      </c>
      <c r="D40" s="17">
        <v>6010</v>
      </c>
      <c r="E40" s="17">
        <v>0</v>
      </c>
      <c r="F40" s="22">
        <f t="shared" si="0"/>
        <v>163207</v>
      </c>
    </row>
    <row r="41" spans="1:11">
      <c r="A41" s="14">
        <v>37</v>
      </c>
      <c r="B41" s="24">
        <v>45006</v>
      </c>
      <c r="C41" s="3" t="s">
        <v>45</v>
      </c>
      <c r="D41" s="17">
        <v>1062</v>
      </c>
      <c r="E41" s="17">
        <v>0</v>
      </c>
      <c r="F41" s="22">
        <f t="shared" si="0"/>
        <v>162145</v>
      </c>
    </row>
    <row r="42" spans="1:11">
      <c r="A42" s="23">
        <v>38</v>
      </c>
      <c r="B42" s="24">
        <v>45007</v>
      </c>
      <c r="C42" s="21" t="s">
        <v>46</v>
      </c>
      <c r="D42" s="17">
        <v>0</v>
      </c>
      <c r="E42" s="17">
        <v>295500</v>
      </c>
      <c r="F42" s="22">
        <f t="shared" si="0"/>
        <v>457645</v>
      </c>
    </row>
    <row r="43" spans="1:11" ht="30">
      <c r="A43" s="14">
        <v>39</v>
      </c>
      <c r="B43" s="24">
        <v>45007</v>
      </c>
      <c r="C43" s="21" t="s">
        <v>47</v>
      </c>
      <c r="D43" s="17">
        <v>100</v>
      </c>
      <c r="E43" s="17">
        <v>0</v>
      </c>
      <c r="F43" s="22">
        <f t="shared" si="0"/>
        <v>457545</v>
      </c>
    </row>
    <row r="44" spans="1:11">
      <c r="A44" s="23">
        <v>40</v>
      </c>
      <c r="B44" s="24">
        <v>45007</v>
      </c>
      <c r="C44" s="21" t="s">
        <v>48</v>
      </c>
      <c r="D44" s="17">
        <v>200000</v>
      </c>
      <c r="E44" s="17">
        <v>0</v>
      </c>
      <c r="F44" s="22">
        <f t="shared" si="0"/>
        <v>257545</v>
      </c>
    </row>
    <row r="45" spans="1:11">
      <c r="A45" s="23">
        <v>41</v>
      </c>
      <c r="B45" s="24">
        <v>45009</v>
      </c>
      <c r="C45" s="21" t="s">
        <v>51</v>
      </c>
      <c r="D45" s="17">
        <v>15010</v>
      </c>
      <c r="E45" s="17">
        <v>0</v>
      </c>
      <c r="F45" s="22">
        <f t="shared" ref="F45:F46" si="1">F44+E45-D45</f>
        <v>242535</v>
      </c>
      <c r="I45" s="1"/>
    </row>
    <row r="46" spans="1:11">
      <c r="A46" s="23">
        <v>42</v>
      </c>
      <c r="B46" s="24">
        <v>45012</v>
      </c>
      <c r="C46" s="21" t="s">
        <v>52</v>
      </c>
      <c r="D46" s="17">
        <v>47510</v>
      </c>
      <c r="E46" s="17">
        <v>0</v>
      </c>
      <c r="F46" s="22">
        <f t="shared" si="1"/>
        <v>195025</v>
      </c>
    </row>
    <row r="47" spans="1:11" ht="27" thickBot="1">
      <c r="A47" s="70">
        <v>45017</v>
      </c>
      <c r="B47" s="71"/>
      <c r="C47" s="71"/>
      <c r="D47" s="71"/>
      <c r="E47" s="71"/>
      <c r="F47" s="72"/>
    </row>
    <row r="48" spans="1:11">
      <c r="A48" s="34">
        <v>43</v>
      </c>
      <c r="B48" s="35">
        <v>45019</v>
      </c>
      <c r="C48" s="36" t="s">
        <v>53</v>
      </c>
      <c r="D48" s="37">
        <v>20000</v>
      </c>
      <c r="E48" s="37">
        <v>0</v>
      </c>
      <c r="F48" s="38">
        <f t="shared" ref="F48" si="2">F46+E48-D48</f>
        <v>175025</v>
      </c>
    </row>
    <row r="49" spans="1:11">
      <c r="A49" s="28">
        <v>44</v>
      </c>
      <c r="B49" s="24">
        <v>45020</v>
      </c>
      <c r="C49" s="21" t="s">
        <v>54</v>
      </c>
      <c r="D49" s="17">
        <v>39250</v>
      </c>
      <c r="E49" s="17">
        <v>0</v>
      </c>
      <c r="F49" s="27">
        <f>F48+E49-D49</f>
        <v>135775</v>
      </c>
    </row>
    <row r="50" spans="1:11">
      <c r="A50" s="28">
        <v>45</v>
      </c>
      <c r="B50" s="24">
        <v>45022</v>
      </c>
      <c r="C50" s="21" t="s">
        <v>55</v>
      </c>
      <c r="D50" s="17">
        <v>45010</v>
      </c>
      <c r="E50" s="17">
        <v>0</v>
      </c>
      <c r="F50" s="27">
        <f t="shared" ref="F50:F52" si="3">F49+E50-D50</f>
        <v>90765</v>
      </c>
    </row>
    <row r="51" spans="1:11">
      <c r="A51" s="28">
        <v>46</v>
      </c>
      <c r="B51" s="24">
        <v>45025</v>
      </c>
      <c r="C51" s="21" t="s">
        <v>56</v>
      </c>
      <c r="D51" s="17">
        <v>2010</v>
      </c>
      <c r="E51" s="17">
        <v>0</v>
      </c>
      <c r="F51" s="27">
        <f>F50+E51-D51</f>
        <v>88755</v>
      </c>
      <c r="K51" s="1"/>
    </row>
    <row r="52" spans="1:11">
      <c r="A52" s="28">
        <v>47</v>
      </c>
      <c r="B52" s="24">
        <v>45025</v>
      </c>
      <c r="C52" s="21" t="s">
        <v>58</v>
      </c>
      <c r="D52" s="17">
        <v>1200</v>
      </c>
      <c r="E52" s="17">
        <v>0</v>
      </c>
      <c r="F52" s="27">
        <f t="shared" si="3"/>
        <v>87555</v>
      </c>
    </row>
    <row r="53" spans="1:11">
      <c r="A53" s="28">
        <v>48</v>
      </c>
      <c r="B53" s="24">
        <v>45030</v>
      </c>
      <c r="C53" s="21" t="s">
        <v>59</v>
      </c>
      <c r="D53" s="17">
        <v>1810</v>
      </c>
      <c r="E53" s="17"/>
      <c r="F53" s="27">
        <f t="shared" ref="F53:F68" si="4">F52+E53-D53</f>
        <v>85745</v>
      </c>
    </row>
    <row r="54" spans="1:11">
      <c r="A54" s="28">
        <v>49</v>
      </c>
      <c r="B54" s="24">
        <v>45034</v>
      </c>
      <c r="C54" s="21" t="s">
        <v>60</v>
      </c>
      <c r="D54" s="17">
        <v>0</v>
      </c>
      <c r="E54" s="17">
        <v>60000</v>
      </c>
      <c r="F54" s="27">
        <f t="shared" si="4"/>
        <v>145745</v>
      </c>
    </row>
    <row r="55" spans="1:11">
      <c r="A55" s="28">
        <v>50</v>
      </c>
      <c r="B55" s="24">
        <v>45034</v>
      </c>
      <c r="C55" s="21" t="s">
        <v>61</v>
      </c>
      <c r="D55" s="17">
        <v>60000</v>
      </c>
      <c r="E55" s="17">
        <v>0</v>
      </c>
      <c r="F55" s="27">
        <f t="shared" si="4"/>
        <v>85745</v>
      </c>
    </row>
    <row r="56" spans="1:11">
      <c r="A56" s="28">
        <v>51</v>
      </c>
      <c r="B56" s="24">
        <v>45037</v>
      </c>
      <c r="C56" s="21" t="s">
        <v>62</v>
      </c>
      <c r="D56" s="17">
        <v>25000</v>
      </c>
      <c r="E56" s="17">
        <v>0</v>
      </c>
      <c r="F56" s="27">
        <f t="shared" si="4"/>
        <v>60745</v>
      </c>
    </row>
    <row r="57" spans="1:11">
      <c r="A57" s="28">
        <v>52</v>
      </c>
      <c r="B57" s="24">
        <v>45037</v>
      </c>
      <c r="C57" s="21" t="s">
        <v>62</v>
      </c>
      <c r="D57" s="17">
        <v>25000</v>
      </c>
      <c r="E57" s="17">
        <v>0</v>
      </c>
      <c r="F57" s="27">
        <f t="shared" si="4"/>
        <v>35745</v>
      </c>
    </row>
    <row r="58" spans="1:11">
      <c r="A58" s="28">
        <v>53</v>
      </c>
      <c r="B58" s="24">
        <v>45037</v>
      </c>
      <c r="C58" s="21" t="s">
        <v>62</v>
      </c>
      <c r="D58" s="17">
        <v>25000</v>
      </c>
      <c r="E58" s="17">
        <v>0</v>
      </c>
      <c r="F58" s="27">
        <f t="shared" si="4"/>
        <v>10745</v>
      </c>
    </row>
    <row r="59" spans="1:11" ht="15.75" thickBot="1">
      <c r="A59" s="29">
        <v>54</v>
      </c>
      <c r="B59" s="30">
        <v>45037</v>
      </c>
      <c r="C59" s="31" t="s">
        <v>62</v>
      </c>
      <c r="D59" s="32">
        <v>5000</v>
      </c>
      <c r="E59" s="32">
        <v>0</v>
      </c>
      <c r="F59" s="33">
        <f t="shared" si="4"/>
        <v>5745</v>
      </c>
      <c r="I59" s="1"/>
    </row>
    <row r="60" spans="1:11" ht="27" thickBot="1">
      <c r="A60" s="75">
        <v>45047</v>
      </c>
      <c r="B60" s="76"/>
      <c r="C60" s="76"/>
      <c r="D60" s="76"/>
      <c r="E60" s="76"/>
      <c r="F60" s="77"/>
    </row>
    <row r="61" spans="1:11">
      <c r="A61" s="34">
        <v>55</v>
      </c>
      <c r="B61" s="35">
        <v>45053</v>
      </c>
      <c r="C61" s="36" t="s">
        <v>63</v>
      </c>
      <c r="D61" s="37">
        <v>0</v>
      </c>
      <c r="E61" s="37">
        <v>60000</v>
      </c>
      <c r="F61" s="38">
        <f>F59+E61-D61</f>
        <v>65745</v>
      </c>
    </row>
    <row r="62" spans="1:11">
      <c r="A62" s="28">
        <v>56</v>
      </c>
      <c r="B62" s="24">
        <v>45055</v>
      </c>
      <c r="C62" s="21" t="s">
        <v>64</v>
      </c>
      <c r="D62" s="17">
        <v>1640</v>
      </c>
      <c r="E62" s="17">
        <v>0</v>
      </c>
      <c r="F62" s="27">
        <f t="shared" si="4"/>
        <v>64105</v>
      </c>
    </row>
    <row r="63" spans="1:11">
      <c r="A63" s="28">
        <v>57</v>
      </c>
      <c r="B63" s="24">
        <v>45056</v>
      </c>
      <c r="C63" s="21" t="s">
        <v>65</v>
      </c>
      <c r="D63" s="17">
        <v>0</v>
      </c>
      <c r="E63" s="17">
        <v>432925</v>
      </c>
      <c r="F63" s="27">
        <f t="shared" si="4"/>
        <v>497030</v>
      </c>
    </row>
    <row r="64" spans="1:11" ht="30">
      <c r="A64" s="28">
        <v>58</v>
      </c>
      <c r="B64" s="24">
        <v>45056</v>
      </c>
      <c r="C64" s="21" t="s">
        <v>67</v>
      </c>
      <c r="D64" s="17">
        <v>432925</v>
      </c>
      <c r="E64" s="17">
        <v>0</v>
      </c>
      <c r="F64" s="27">
        <f t="shared" si="4"/>
        <v>64105</v>
      </c>
    </row>
    <row r="65" spans="1:6" ht="30">
      <c r="A65" s="28">
        <v>59</v>
      </c>
      <c r="B65" s="24">
        <v>45056</v>
      </c>
      <c r="C65" s="21" t="s">
        <v>66</v>
      </c>
      <c r="D65" s="17">
        <v>15</v>
      </c>
      <c r="E65" s="17">
        <v>0</v>
      </c>
      <c r="F65" s="27">
        <f t="shared" si="4"/>
        <v>64090</v>
      </c>
    </row>
    <row r="66" spans="1:6">
      <c r="A66" s="28">
        <v>60</v>
      </c>
      <c r="B66" s="24">
        <v>45058</v>
      </c>
      <c r="C66" s="21" t="s">
        <v>65</v>
      </c>
      <c r="D66" s="17">
        <v>0</v>
      </c>
      <c r="E66" s="17">
        <v>432925</v>
      </c>
      <c r="F66" s="27">
        <f t="shared" si="4"/>
        <v>497015</v>
      </c>
    </row>
    <row r="67" spans="1:6" ht="30">
      <c r="A67" s="28">
        <v>61</v>
      </c>
      <c r="B67" s="24">
        <v>45058</v>
      </c>
      <c r="C67" s="21" t="s">
        <v>67</v>
      </c>
      <c r="D67" s="17">
        <v>432925</v>
      </c>
      <c r="E67" s="17">
        <v>0</v>
      </c>
      <c r="F67" s="27">
        <f t="shared" si="4"/>
        <v>64090</v>
      </c>
    </row>
    <row r="68" spans="1:6" ht="30">
      <c r="A68" s="28">
        <v>62</v>
      </c>
      <c r="B68" s="24">
        <v>45058</v>
      </c>
      <c r="C68" s="21" t="s">
        <v>66</v>
      </c>
      <c r="D68" s="17">
        <v>15</v>
      </c>
      <c r="E68" s="17"/>
      <c r="F68" s="27">
        <f t="shared" si="4"/>
        <v>64075</v>
      </c>
    </row>
    <row r="69" spans="1:6" ht="30">
      <c r="A69" s="28">
        <v>63</v>
      </c>
      <c r="B69" s="24">
        <v>45060</v>
      </c>
      <c r="C69" s="21" t="s">
        <v>70</v>
      </c>
      <c r="D69" s="17">
        <v>16510</v>
      </c>
      <c r="E69" s="17"/>
      <c r="F69" s="27">
        <f t="shared" ref="F69:F88" si="5">F68+E69-D69</f>
        <v>47565</v>
      </c>
    </row>
    <row r="70" spans="1:6">
      <c r="A70" s="28">
        <v>64</v>
      </c>
      <c r="B70" s="24">
        <v>45061</v>
      </c>
      <c r="C70" s="21" t="s">
        <v>71</v>
      </c>
      <c r="D70" s="17">
        <v>0</v>
      </c>
      <c r="E70" s="17">
        <v>432925</v>
      </c>
      <c r="F70" s="27">
        <f t="shared" si="5"/>
        <v>480490</v>
      </c>
    </row>
    <row r="71" spans="1:6" ht="30">
      <c r="A71" s="28">
        <v>65</v>
      </c>
      <c r="B71" s="24">
        <v>45061</v>
      </c>
      <c r="C71" s="21" t="s">
        <v>66</v>
      </c>
      <c r="D71" s="17">
        <v>15</v>
      </c>
      <c r="E71" s="17">
        <v>0</v>
      </c>
      <c r="F71" s="27">
        <f t="shared" si="5"/>
        <v>480475</v>
      </c>
    </row>
    <row r="72" spans="1:6">
      <c r="A72" s="28">
        <v>66</v>
      </c>
      <c r="B72" s="24">
        <v>45063</v>
      </c>
      <c r="C72" s="21" t="s">
        <v>72</v>
      </c>
      <c r="D72" s="17">
        <v>0</v>
      </c>
      <c r="E72" s="17">
        <v>500000</v>
      </c>
      <c r="F72" s="27">
        <f t="shared" si="5"/>
        <v>980475</v>
      </c>
    </row>
    <row r="73" spans="1:6" ht="30">
      <c r="A73" s="28">
        <v>67</v>
      </c>
      <c r="B73" s="24">
        <v>45063</v>
      </c>
      <c r="C73" s="21" t="s">
        <v>73</v>
      </c>
      <c r="D73" s="17">
        <v>15</v>
      </c>
      <c r="E73" s="17">
        <v>0</v>
      </c>
      <c r="F73" s="27">
        <f t="shared" si="5"/>
        <v>980460</v>
      </c>
    </row>
    <row r="74" spans="1:6" ht="30">
      <c r="A74" s="28">
        <v>68</v>
      </c>
      <c r="B74" s="24">
        <v>45064</v>
      </c>
      <c r="C74" s="21" t="s">
        <v>77</v>
      </c>
      <c r="D74" s="17">
        <v>950000</v>
      </c>
      <c r="E74" s="17">
        <v>0</v>
      </c>
      <c r="F74" s="27">
        <f t="shared" si="5"/>
        <v>30460</v>
      </c>
    </row>
    <row r="75" spans="1:6">
      <c r="A75" s="28">
        <v>69</v>
      </c>
      <c r="B75" s="24">
        <v>45076</v>
      </c>
      <c r="C75" s="21" t="s">
        <v>78</v>
      </c>
      <c r="D75" s="17">
        <v>4000</v>
      </c>
      <c r="E75" s="17"/>
      <c r="F75" s="27">
        <f t="shared" si="5"/>
        <v>26460</v>
      </c>
    </row>
    <row r="76" spans="1:6">
      <c r="A76" s="28">
        <v>70</v>
      </c>
      <c r="B76" s="24">
        <v>45076</v>
      </c>
      <c r="C76" s="21" t="s">
        <v>78</v>
      </c>
      <c r="D76" s="17">
        <v>4000</v>
      </c>
      <c r="E76" s="17"/>
      <c r="F76" s="27">
        <f t="shared" si="5"/>
        <v>22460</v>
      </c>
    </row>
    <row r="77" spans="1:6" ht="15.75" thickBot="1">
      <c r="A77" s="29">
        <v>71</v>
      </c>
      <c r="B77" s="30">
        <v>45077</v>
      </c>
      <c r="C77" s="31" t="s">
        <v>79</v>
      </c>
      <c r="D77" s="32">
        <v>5000</v>
      </c>
      <c r="E77" s="32"/>
      <c r="F77" s="33">
        <f t="shared" si="5"/>
        <v>17460</v>
      </c>
    </row>
    <row r="78" spans="1:6" ht="26.25">
      <c r="A78" s="70">
        <v>45078</v>
      </c>
      <c r="B78" s="71"/>
      <c r="C78" s="71"/>
      <c r="D78" s="71"/>
      <c r="E78" s="71"/>
      <c r="F78" s="72"/>
    </row>
    <row r="79" spans="1:6">
      <c r="A79" s="23">
        <v>72</v>
      </c>
      <c r="B79" s="24">
        <v>45079</v>
      </c>
      <c r="C79" s="21" t="s">
        <v>80</v>
      </c>
      <c r="D79" s="17">
        <v>475</v>
      </c>
      <c r="E79" s="17">
        <v>0</v>
      </c>
      <c r="F79" s="22">
        <f>F77+E79-D79</f>
        <v>16985</v>
      </c>
    </row>
    <row r="80" spans="1:6">
      <c r="A80" s="23">
        <v>73</v>
      </c>
      <c r="B80" s="24">
        <v>45081</v>
      </c>
      <c r="C80" s="21" t="s">
        <v>81</v>
      </c>
      <c r="D80" s="17">
        <v>500</v>
      </c>
      <c r="E80" s="17">
        <v>0</v>
      </c>
      <c r="F80" s="22">
        <f t="shared" si="5"/>
        <v>16485</v>
      </c>
    </row>
    <row r="81" spans="1:6">
      <c r="A81" s="23">
        <v>74</v>
      </c>
      <c r="B81" s="24">
        <v>45082</v>
      </c>
      <c r="C81" s="21" t="s">
        <v>82</v>
      </c>
      <c r="D81" s="17">
        <v>820</v>
      </c>
      <c r="E81" s="17">
        <v>0</v>
      </c>
      <c r="F81" s="22">
        <f t="shared" si="5"/>
        <v>15665</v>
      </c>
    </row>
    <row r="82" spans="1:6">
      <c r="A82" s="23">
        <v>75</v>
      </c>
      <c r="B82" s="24">
        <v>45084</v>
      </c>
      <c r="C82" s="21" t="s">
        <v>84</v>
      </c>
      <c r="D82" s="17">
        <v>3000</v>
      </c>
      <c r="E82" s="17">
        <v>0</v>
      </c>
      <c r="F82" s="22">
        <f t="shared" si="5"/>
        <v>12665</v>
      </c>
    </row>
    <row r="83" spans="1:6">
      <c r="A83" s="23">
        <v>76</v>
      </c>
      <c r="B83" s="24">
        <v>45084</v>
      </c>
      <c r="C83" s="21" t="s">
        <v>85</v>
      </c>
      <c r="D83" s="17">
        <v>0</v>
      </c>
      <c r="E83" s="17">
        <v>24976</v>
      </c>
      <c r="F83" s="22">
        <f t="shared" si="5"/>
        <v>37641</v>
      </c>
    </row>
    <row r="84" spans="1:6">
      <c r="A84" s="23">
        <v>77</v>
      </c>
      <c r="B84" s="24">
        <v>45085</v>
      </c>
      <c r="C84" s="21" t="s">
        <v>86</v>
      </c>
      <c r="D84" s="17">
        <v>2780</v>
      </c>
      <c r="E84" s="17">
        <v>0</v>
      </c>
      <c r="F84" s="22">
        <f t="shared" si="5"/>
        <v>34861</v>
      </c>
    </row>
    <row r="85" spans="1:6">
      <c r="A85" s="23">
        <v>78</v>
      </c>
      <c r="B85" s="24">
        <v>45088</v>
      </c>
      <c r="C85" s="21" t="s">
        <v>69</v>
      </c>
      <c r="D85" s="17">
        <v>20000</v>
      </c>
      <c r="E85" s="17">
        <v>0</v>
      </c>
      <c r="F85" s="22">
        <f t="shared" si="5"/>
        <v>14861</v>
      </c>
    </row>
    <row r="86" spans="1:6">
      <c r="A86" s="23">
        <v>79</v>
      </c>
      <c r="B86" s="24">
        <v>45089</v>
      </c>
      <c r="C86" s="21" t="s">
        <v>69</v>
      </c>
      <c r="D86" s="17">
        <v>5000</v>
      </c>
      <c r="E86" s="17">
        <v>0</v>
      </c>
      <c r="F86" s="22">
        <f t="shared" si="5"/>
        <v>9861</v>
      </c>
    </row>
    <row r="87" spans="1:6">
      <c r="A87" s="23">
        <v>80</v>
      </c>
      <c r="B87" s="24">
        <v>45090</v>
      </c>
      <c r="C87" s="21" t="s">
        <v>87</v>
      </c>
      <c r="D87" s="17">
        <v>0</v>
      </c>
      <c r="E87" s="17">
        <v>200000</v>
      </c>
      <c r="F87" s="22">
        <f t="shared" si="5"/>
        <v>209861</v>
      </c>
    </row>
    <row r="88" spans="1:6">
      <c r="A88" s="23">
        <v>81</v>
      </c>
      <c r="B88" s="24">
        <v>45090</v>
      </c>
      <c r="C88" s="21" t="s">
        <v>88</v>
      </c>
      <c r="D88" s="17">
        <v>100</v>
      </c>
      <c r="E88" s="17">
        <v>0</v>
      </c>
      <c r="F88" s="22">
        <f t="shared" si="5"/>
        <v>209761</v>
      </c>
    </row>
    <row r="89" spans="1:6">
      <c r="A89" s="23">
        <v>82</v>
      </c>
      <c r="B89" s="24">
        <v>45094</v>
      </c>
      <c r="C89" s="21" t="s">
        <v>89</v>
      </c>
      <c r="D89" s="17">
        <v>56340</v>
      </c>
      <c r="E89" s="17">
        <v>0</v>
      </c>
      <c r="F89" s="22">
        <f t="shared" ref="F89:F141" si="6">F88+E89-D89</f>
        <v>153421</v>
      </c>
    </row>
    <row r="90" spans="1:6" ht="30">
      <c r="A90" s="23">
        <v>83</v>
      </c>
      <c r="B90" s="24">
        <v>45096</v>
      </c>
      <c r="C90" s="21" t="s">
        <v>91</v>
      </c>
      <c r="D90" s="17">
        <v>0</v>
      </c>
      <c r="E90" s="17">
        <v>150000</v>
      </c>
      <c r="F90" s="22">
        <f t="shared" si="6"/>
        <v>303421</v>
      </c>
    </row>
    <row r="91" spans="1:6">
      <c r="A91" s="23">
        <v>84</v>
      </c>
      <c r="B91" s="24">
        <v>45096</v>
      </c>
      <c r="C91" s="21" t="s">
        <v>90</v>
      </c>
      <c r="D91" s="17">
        <v>150010</v>
      </c>
      <c r="E91" s="17">
        <v>0</v>
      </c>
      <c r="F91" s="22">
        <f t="shared" si="6"/>
        <v>153411</v>
      </c>
    </row>
    <row r="92" spans="1:6">
      <c r="A92" s="23">
        <v>85</v>
      </c>
      <c r="B92" s="24">
        <v>45096</v>
      </c>
      <c r="C92" s="21" t="s">
        <v>93</v>
      </c>
      <c r="D92" s="17">
        <v>5000</v>
      </c>
      <c r="E92" s="17">
        <v>0</v>
      </c>
      <c r="F92" s="22">
        <f t="shared" si="6"/>
        <v>148411</v>
      </c>
    </row>
    <row r="93" spans="1:6">
      <c r="A93" s="23">
        <v>86</v>
      </c>
      <c r="B93" s="24">
        <v>45097</v>
      </c>
      <c r="C93" s="7" t="s">
        <v>92</v>
      </c>
      <c r="D93" s="15">
        <v>865</v>
      </c>
      <c r="E93" s="17">
        <v>0</v>
      </c>
      <c r="F93" s="22">
        <f t="shared" si="6"/>
        <v>147546</v>
      </c>
    </row>
    <row r="94" spans="1:6">
      <c r="A94" s="23">
        <v>87</v>
      </c>
      <c r="B94" s="24">
        <v>45098</v>
      </c>
      <c r="C94" s="7" t="s">
        <v>94</v>
      </c>
      <c r="D94" s="15">
        <v>0</v>
      </c>
      <c r="E94" s="17">
        <v>50000</v>
      </c>
      <c r="F94" s="22">
        <f t="shared" si="6"/>
        <v>197546</v>
      </c>
    </row>
    <row r="95" spans="1:6" ht="30">
      <c r="A95" s="23">
        <v>88</v>
      </c>
      <c r="B95" s="24">
        <v>45098</v>
      </c>
      <c r="C95" s="7" t="s">
        <v>95</v>
      </c>
      <c r="D95" s="15">
        <v>50000</v>
      </c>
      <c r="E95" s="17">
        <v>0</v>
      </c>
      <c r="F95" s="22">
        <f t="shared" si="6"/>
        <v>147546</v>
      </c>
    </row>
    <row r="96" spans="1:6" ht="30">
      <c r="A96" s="23">
        <v>89</v>
      </c>
      <c r="B96" s="24">
        <v>45099</v>
      </c>
      <c r="C96" s="7" t="s">
        <v>96</v>
      </c>
      <c r="D96" s="15">
        <v>0</v>
      </c>
      <c r="E96" s="17">
        <v>100000</v>
      </c>
      <c r="F96" s="22">
        <f t="shared" si="6"/>
        <v>247546</v>
      </c>
    </row>
    <row r="97" spans="1:6">
      <c r="A97" s="23">
        <v>90</v>
      </c>
      <c r="B97" s="24">
        <v>45100</v>
      </c>
      <c r="C97" s="7" t="s">
        <v>94</v>
      </c>
      <c r="D97" s="15">
        <v>0</v>
      </c>
      <c r="E97" s="17">
        <v>50000</v>
      </c>
      <c r="F97" s="22">
        <f t="shared" si="6"/>
        <v>297546</v>
      </c>
    </row>
    <row r="98" spans="1:6" ht="30">
      <c r="A98" s="23">
        <v>91</v>
      </c>
      <c r="B98" s="24">
        <v>45100</v>
      </c>
      <c r="C98" s="7" t="s">
        <v>95</v>
      </c>
      <c r="D98" s="15">
        <v>50000</v>
      </c>
      <c r="E98" s="17">
        <v>0</v>
      </c>
      <c r="F98" s="22">
        <f t="shared" si="6"/>
        <v>247546</v>
      </c>
    </row>
    <row r="99" spans="1:6">
      <c r="A99" s="23">
        <v>92</v>
      </c>
      <c r="B99" s="24">
        <v>45100</v>
      </c>
      <c r="C99" s="7" t="s">
        <v>97</v>
      </c>
      <c r="D99" s="15">
        <v>100010</v>
      </c>
      <c r="E99" s="17">
        <v>0</v>
      </c>
      <c r="F99" s="22">
        <f t="shared" si="6"/>
        <v>147536</v>
      </c>
    </row>
    <row r="100" spans="1:6">
      <c r="A100" s="23">
        <v>93</v>
      </c>
      <c r="B100" s="24">
        <v>45100</v>
      </c>
      <c r="C100" s="7" t="s">
        <v>97</v>
      </c>
      <c r="D100" s="15">
        <v>50010</v>
      </c>
      <c r="E100" s="17">
        <v>0</v>
      </c>
      <c r="F100" s="22">
        <f t="shared" si="6"/>
        <v>97526</v>
      </c>
    </row>
    <row r="101" spans="1:6">
      <c r="A101" s="23">
        <v>94</v>
      </c>
      <c r="B101" s="24">
        <v>45105</v>
      </c>
      <c r="C101" s="7" t="s">
        <v>94</v>
      </c>
      <c r="D101" s="15">
        <v>0</v>
      </c>
      <c r="E101" s="17">
        <v>50000</v>
      </c>
      <c r="F101" s="22">
        <f t="shared" si="6"/>
        <v>147526</v>
      </c>
    </row>
    <row r="102" spans="1:6" ht="26.25">
      <c r="A102" s="70">
        <v>45108</v>
      </c>
      <c r="B102" s="71"/>
      <c r="C102" s="71"/>
      <c r="D102" s="71"/>
      <c r="E102" s="71"/>
      <c r="F102" s="72"/>
    </row>
    <row r="103" spans="1:6">
      <c r="A103" s="23">
        <v>95</v>
      </c>
      <c r="B103" s="24">
        <v>45108</v>
      </c>
      <c r="C103" s="7" t="s">
        <v>97</v>
      </c>
      <c r="D103" s="15">
        <v>5000</v>
      </c>
      <c r="E103" s="17">
        <v>0</v>
      </c>
      <c r="F103" s="22">
        <f>F101+E103-D103</f>
        <v>142526</v>
      </c>
    </row>
    <row r="104" spans="1:6">
      <c r="A104" s="23">
        <v>96</v>
      </c>
      <c r="B104" s="24">
        <v>45110</v>
      </c>
      <c r="C104" s="7" t="s">
        <v>97</v>
      </c>
      <c r="D104" s="15">
        <v>5800</v>
      </c>
      <c r="E104" s="17">
        <v>0</v>
      </c>
      <c r="F104" s="22">
        <f t="shared" si="6"/>
        <v>136726</v>
      </c>
    </row>
    <row r="105" spans="1:6">
      <c r="A105" s="23">
        <v>97</v>
      </c>
      <c r="B105" s="24">
        <v>45113</v>
      </c>
      <c r="C105" s="7" t="s">
        <v>98</v>
      </c>
      <c r="D105" s="15">
        <v>8311.49</v>
      </c>
      <c r="E105" s="17">
        <v>0</v>
      </c>
      <c r="F105" s="22">
        <f t="shared" si="6"/>
        <v>128414.51</v>
      </c>
    </row>
    <row r="106" spans="1:6">
      <c r="A106" s="23">
        <v>98</v>
      </c>
      <c r="B106" s="24">
        <v>45113</v>
      </c>
      <c r="C106" s="7" t="s">
        <v>99</v>
      </c>
      <c r="D106" s="15">
        <v>10700</v>
      </c>
      <c r="E106" s="17">
        <v>0</v>
      </c>
      <c r="F106" s="22">
        <f t="shared" si="6"/>
        <v>117714.51</v>
      </c>
    </row>
    <row r="107" spans="1:6">
      <c r="A107" s="23">
        <v>99</v>
      </c>
      <c r="B107" s="24">
        <v>45113</v>
      </c>
      <c r="C107" s="7" t="s">
        <v>97</v>
      </c>
      <c r="D107" s="15">
        <v>5000</v>
      </c>
      <c r="E107" s="17">
        <v>0</v>
      </c>
      <c r="F107" s="22">
        <f t="shared" si="6"/>
        <v>112714.51</v>
      </c>
    </row>
    <row r="108" spans="1:6">
      <c r="A108" s="23">
        <v>100</v>
      </c>
      <c r="B108" s="24">
        <v>45114</v>
      </c>
      <c r="C108" s="7" t="s">
        <v>100</v>
      </c>
      <c r="D108" s="15">
        <v>10010</v>
      </c>
      <c r="E108" s="17">
        <v>0</v>
      </c>
      <c r="F108" s="22">
        <f t="shared" si="6"/>
        <v>102704.51</v>
      </c>
    </row>
    <row r="109" spans="1:6">
      <c r="A109" s="23">
        <v>101</v>
      </c>
      <c r="B109" s="24">
        <v>45114</v>
      </c>
      <c r="C109" s="7" t="s">
        <v>101</v>
      </c>
      <c r="D109" s="15">
        <v>0</v>
      </c>
      <c r="E109" s="17">
        <v>100000</v>
      </c>
      <c r="F109" s="22">
        <f t="shared" si="6"/>
        <v>202704.51</v>
      </c>
    </row>
    <row r="110" spans="1:6">
      <c r="A110" s="23">
        <v>102</v>
      </c>
      <c r="B110" s="24">
        <v>45114</v>
      </c>
      <c r="C110" s="7" t="s">
        <v>102</v>
      </c>
      <c r="D110" s="15">
        <v>100</v>
      </c>
      <c r="E110" s="17">
        <v>0</v>
      </c>
      <c r="F110" s="22">
        <f t="shared" si="6"/>
        <v>202604.51</v>
      </c>
    </row>
    <row r="111" spans="1:6">
      <c r="A111" s="23">
        <v>103</v>
      </c>
      <c r="B111" s="24">
        <v>45116</v>
      </c>
      <c r="C111" s="7" t="s">
        <v>103</v>
      </c>
      <c r="D111" s="15">
        <v>190010</v>
      </c>
      <c r="E111" s="17">
        <v>0</v>
      </c>
      <c r="F111" s="22">
        <f t="shared" si="6"/>
        <v>12594.510000000009</v>
      </c>
    </row>
    <row r="112" spans="1:6">
      <c r="A112" s="23">
        <v>104</v>
      </c>
      <c r="B112" s="24">
        <v>45117</v>
      </c>
      <c r="C112" s="7" t="s">
        <v>104</v>
      </c>
      <c r="D112" s="15">
        <v>0</v>
      </c>
      <c r="E112" s="17">
        <v>1500000</v>
      </c>
      <c r="F112" s="22">
        <f t="shared" si="6"/>
        <v>1512594.51</v>
      </c>
    </row>
    <row r="113" spans="1:6">
      <c r="A113" s="23">
        <v>105</v>
      </c>
      <c r="B113" s="24">
        <v>45117</v>
      </c>
      <c r="C113" s="7" t="s">
        <v>105</v>
      </c>
      <c r="D113" s="15">
        <v>100010</v>
      </c>
      <c r="E113" s="5">
        <v>0</v>
      </c>
      <c r="F113" s="22">
        <f t="shared" si="6"/>
        <v>1412584.51</v>
      </c>
    </row>
    <row r="114" spans="1:6">
      <c r="A114" s="23">
        <v>106</v>
      </c>
      <c r="B114" s="24">
        <v>45120</v>
      </c>
      <c r="C114" s="7" t="s">
        <v>106</v>
      </c>
      <c r="D114" s="15">
        <v>0</v>
      </c>
      <c r="E114" s="5">
        <v>190657</v>
      </c>
      <c r="F114" s="22">
        <f t="shared" si="6"/>
        <v>1603241.51</v>
      </c>
    </row>
    <row r="115" spans="1:6">
      <c r="A115" s="23">
        <v>107</v>
      </c>
      <c r="B115" s="24">
        <v>45123</v>
      </c>
      <c r="C115" s="7" t="s">
        <v>107</v>
      </c>
      <c r="D115" s="15">
        <v>30000</v>
      </c>
      <c r="E115" s="5">
        <v>0</v>
      </c>
      <c r="F115" s="22">
        <f t="shared" si="6"/>
        <v>1573241.51</v>
      </c>
    </row>
    <row r="116" spans="1:6">
      <c r="A116" s="23">
        <v>108</v>
      </c>
      <c r="B116" s="24">
        <v>45123</v>
      </c>
      <c r="C116" s="7" t="s">
        <v>108</v>
      </c>
      <c r="D116" s="15">
        <v>50010</v>
      </c>
      <c r="E116" s="5">
        <v>0</v>
      </c>
      <c r="F116" s="22">
        <f t="shared" si="6"/>
        <v>1523231.51</v>
      </c>
    </row>
    <row r="117" spans="1:6">
      <c r="A117" s="23">
        <v>109</v>
      </c>
      <c r="B117" s="24">
        <v>45125</v>
      </c>
      <c r="C117" s="7" t="s">
        <v>109</v>
      </c>
      <c r="D117" s="15">
        <v>0</v>
      </c>
      <c r="E117" s="5">
        <v>152550</v>
      </c>
      <c r="F117" s="22">
        <f t="shared" si="6"/>
        <v>1675781.51</v>
      </c>
    </row>
    <row r="118" spans="1:6" ht="30">
      <c r="A118" s="23">
        <v>110</v>
      </c>
      <c r="B118" s="24">
        <v>45125</v>
      </c>
      <c r="C118" s="7" t="s">
        <v>110</v>
      </c>
      <c r="D118" s="15">
        <v>152550</v>
      </c>
      <c r="E118" s="5">
        <v>0</v>
      </c>
      <c r="F118" s="22">
        <f t="shared" si="6"/>
        <v>1523231.51</v>
      </c>
    </row>
    <row r="119" spans="1:6">
      <c r="A119" s="23">
        <v>111</v>
      </c>
      <c r="B119" s="24">
        <v>45130</v>
      </c>
      <c r="C119" s="7" t="s">
        <v>111</v>
      </c>
      <c r="D119" s="15">
        <v>1500000</v>
      </c>
      <c r="E119" s="5">
        <v>0</v>
      </c>
      <c r="F119" s="22">
        <f t="shared" si="6"/>
        <v>23231.510000000009</v>
      </c>
    </row>
    <row r="120" spans="1:6">
      <c r="A120" s="23">
        <v>112</v>
      </c>
      <c r="B120" s="24">
        <v>45130</v>
      </c>
      <c r="C120" s="7" t="s">
        <v>92</v>
      </c>
      <c r="D120" s="15">
        <v>1335</v>
      </c>
      <c r="E120" s="5">
        <v>0</v>
      </c>
      <c r="F120" s="22">
        <f t="shared" si="6"/>
        <v>21896.510000000009</v>
      </c>
    </row>
    <row r="121" spans="1:6">
      <c r="A121" s="23">
        <v>113</v>
      </c>
      <c r="B121" s="24">
        <v>45131</v>
      </c>
      <c r="C121" s="7" t="s">
        <v>112</v>
      </c>
      <c r="D121" s="15">
        <v>3500</v>
      </c>
      <c r="E121" s="5"/>
      <c r="F121" s="22">
        <f t="shared" si="6"/>
        <v>18396.510000000009</v>
      </c>
    </row>
    <row r="122" spans="1:6">
      <c r="A122" s="23">
        <v>114</v>
      </c>
      <c r="B122" s="24">
        <v>45131</v>
      </c>
      <c r="C122" s="7" t="s">
        <v>113</v>
      </c>
      <c r="D122" s="15">
        <v>5000</v>
      </c>
      <c r="E122" s="5"/>
      <c r="F122" s="22">
        <f t="shared" si="6"/>
        <v>13396.510000000009</v>
      </c>
    </row>
    <row r="123" spans="1:6">
      <c r="A123" s="23">
        <v>115</v>
      </c>
      <c r="B123" s="24">
        <v>45133</v>
      </c>
      <c r="C123" s="7" t="s">
        <v>114</v>
      </c>
      <c r="D123" s="15">
        <v>0</v>
      </c>
      <c r="E123" s="5">
        <v>150000</v>
      </c>
      <c r="F123" s="22">
        <f t="shared" si="6"/>
        <v>163396.51</v>
      </c>
    </row>
    <row r="124" spans="1:6" ht="30">
      <c r="A124" s="23">
        <v>116</v>
      </c>
      <c r="B124" s="24">
        <v>45133</v>
      </c>
      <c r="C124" s="7" t="s">
        <v>115</v>
      </c>
      <c r="D124" s="15">
        <v>121510</v>
      </c>
      <c r="E124" s="5">
        <v>0</v>
      </c>
      <c r="F124" s="22">
        <f t="shared" si="6"/>
        <v>41886.510000000009</v>
      </c>
    </row>
    <row r="125" spans="1:6">
      <c r="A125" s="23">
        <v>117</v>
      </c>
      <c r="B125" s="24">
        <v>45136</v>
      </c>
      <c r="C125" s="7" t="s">
        <v>22</v>
      </c>
      <c r="D125" s="15">
        <v>5000</v>
      </c>
      <c r="E125" s="5">
        <v>0</v>
      </c>
      <c r="F125" s="22">
        <f t="shared" si="6"/>
        <v>36886.510000000009</v>
      </c>
    </row>
    <row r="126" spans="1:6">
      <c r="A126" s="23">
        <v>118</v>
      </c>
      <c r="B126" s="24">
        <v>45137</v>
      </c>
      <c r="C126" s="7" t="s">
        <v>116</v>
      </c>
      <c r="D126" s="15">
        <v>16010</v>
      </c>
      <c r="E126" s="5">
        <v>0</v>
      </c>
      <c r="F126" s="22">
        <f t="shared" si="6"/>
        <v>20876.510000000009</v>
      </c>
    </row>
    <row r="127" spans="1:6" ht="26.25">
      <c r="A127" s="70">
        <v>45139</v>
      </c>
      <c r="B127" s="71"/>
      <c r="C127" s="71"/>
      <c r="D127" s="71"/>
      <c r="E127" s="71"/>
      <c r="F127" s="72"/>
    </row>
    <row r="128" spans="1:6">
      <c r="A128" s="23">
        <v>119</v>
      </c>
      <c r="B128" s="24">
        <v>45141</v>
      </c>
      <c r="C128" s="7" t="s">
        <v>109</v>
      </c>
      <c r="D128" s="15">
        <v>0</v>
      </c>
      <c r="E128" s="5">
        <v>152550</v>
      </c>
      <c r="F128" s="22">
        <f>F126+E128-D128</f>
        <v>173426.51</v>
      </c>
    </row>
    <row r="129" spans="1:6" ht="30">
      <c r="A129" s="23">
        <v>120</v>
      </c>
      <c r="B129" s="24">
        <v>45141</v>
      </c>
      <c r="C129" s="7" t="s">
        <v>110</v>
      </c>
      <c r="D129" s="15">
        <v>152550</v>
      </c>
      <c r="E129" s="5">
        <v>0</v>
      </c>
      <c r="F129" s="22">
        <f t="shared" si="6"/>
        <v>20876.510000000009</v>
      </c>
    </row>
    <row r="130" spans="1:6">
      <c r="A130" s="23">
        <v>121</v>
      </c>
      <c r="B130" s="24">
        <v>45144</v>
      </c>
      <c r="C130" s="7" t="s">
        <v>118</v>
      </c>
      <c r="D130" s="15">
        <v>0</v>
      </c>
      <c r="E130" s="5">
        <v>3390</v>
      </c>
      <c r="F130" s="22">
        <f t="shared" si="6"/>
        <v>24266.510000000009</v>
      </c>
    </row>
    <row r="131" spans="1:6">
      <c r="A131" s="23">
        <v>122</v>
      </c>
      <c r="B131" s="24">
        <v>45148</v>
      </c>
      <c r="C131" s="7" t="s">
        <v>119</v>
      </c>
      <c r="D131" s="15">
        <v>20000</v>
      </c>
      <c r="E131" s="5">
        <v>0</v>
      </c>
      <c r="F131" s="22">
        <f t="shared" si="6"/>
        <v>4266.5100000000093</v>
      </c>
    </row>
    <row r="132" spans="1:6">
      <c r="A132" s="23">
        <v>123</v>
      </c>
      <c r="B132" s="24">
        <v>45149</v>
      </c>
      <c r="C132" s="7" t="s">
        <v>120</v>
      </c>
      <c r="D132" s="15">
        <v>1510</v>
      </c>
      <c r="E132" s="5">
        <v>0</v>
      </c>
      <c r="F132" s="22">
        <f t="shared" si="6"/>
        <v>2756.5100000000093</v>
      </c>
    </row>
    <row r="133" spans="1:6">
      <c r="A133" s="23">
        <v>124</v>
      </c>
      <c r="B133" s="24">
        <v>45154</v>
      </c>
      <c r="C133" s="7" t="s">
        <v>121</v>
      </c>
      <c r="D133" s="15">
        <v>200</v>
      </c>
      <c r="E133" s="5">
        <v>0</v>
      </c>
      <c r="F133" s="22">
        <f t="shared" si="6"/>
        <v>2556.5100000000093</v>
      </c>
    </row>
    <row r="134" spans="1:6">
      <c r="A134" s="23">
        <v>125</v>
      </c>
      <c r="B134" s="24">
        <v>45169</v>
      </c>
      <c r="C134" s="7" t="s">
        <v>122</v>
      </c>
      <c r="D134" s="15">
        <v>0</v>
      </c>
      <c r="E134" s="5">
        <v>10000</v>
      </c>
      <c r="F134" s="22">
        <f t="shared" si="6"/>
        <v>12556.510000000009</v>
      </c>
    </row>
    <row r="135" spans="1:6">
      <c r="A135" s="23">
        <v>126</v>
      </c>
      <c r="B135" s="24">
        <v>45169</v>
      </c>
      <c r="C135" s="7" t="s">
        <v>123</v>
      </c>
      <c r="D135" s="15">
        <v>4510</v>
      </c>
      <c r="E135" s="5">
        <v>0</v>
      </c>
      <c r="F135" s="22">
        <f t="shared" si="6"/>
        <v>8046.5100000000093</v>
      </c>
    </row>
    <row r="136" spans="1:6" ht="26.25">
      <c r="A136" s="70">
        <v>45139</v>
      </c>
      <c r="B136" s="71"/>
      <c r="C136" s="71"/>
      <c r="D136" s="71"/>
      <c r="E136" s="71"/>
      <c r="F136" s="72"/>
    </row>
    <row r="137" spans="1:6">
      <c r="A137" s="23">
        <v>128</v>
      </c>
      <c r="B137" s="24">
        <v>45179</v>
      </c>
      <c r="C137" s="7" t="s">
        <v>124</v>
      </c>
      <c r="D137" s="15">
        <v>5500</v>
      </c>
      <c r="E137" s="5">
        <v>0</v>
      </c>
      <c r="F137" s="17">
        <f>F135+E137-D137</f>
        <v>2546.5100000000093</v>
      </c>
    </row>
    <row r="138" spans="1:6" ht="30">
      <c r="A138" s="23">
        <v>129</v>
      </c>
      <c r="B138" s="24">
        <v>45182</v>
      </c>
      <c r="C138" s="7" t="s">
        <v>125</v>
      </c>
      <c r="D138" s="15">
        <v>0</v>
      </c>
      <c r="E138" s="5">
        <v>200000</v>
      </c>
      <c r="F138" s="17">
        <f t="shared" si="6"/>
        <v>202546.51</v>
      </c>
    </row>
    <row r="139" spans="1:6">
      <c r="A139" s="23">
        <v>130</v>
      </c>
      <c r="B139" s="24">
        <v>45182</v>
      </c>
      <c r="C139" s="7" t="s">
        <v>126</v>
      </c>
      <c r="D139" s="15">
        <v>780</v>
      </c>
      <c r="E139" s="5"/>
      <c r="F139" s="17">
        <f t="shared" si="6"/>
        <v>201766.51</v>
      </c>
    </row>
    <row r="140" spans="1:6" ht="30">
      <c r="A140" s="23">
        <v>131</v>
      </c>
      <c r="B140" s="24">
        <v>45183</v>
      </c>
      <c r="C140" s="7" t="s">
        <v>127</v>
      </c>
      <c r="D140" s="15">
        <v>0</v>
      </c>
      <c r="E140" s="5">
        <v>3700</v>
      </c>
      <c r="F140" s="17">
        <f t="shared" si="6"/>
        <v>205466.51</v>
      </c>
    </row>
    <row r="141" spans="1:6">
      <c r="A141" s="23">
        <v>132</v>
      </c>
      <c r="B141" s="24">
        <v>45183</v>
      </c>
      <c r="C141" s="7" t="s">
        <v>128</v>
      </c>
      <c r="D141" s="15">
        <v>10000</v>
      </c>
      <c r="E141" s="5"/>
      <c r="F141" s="17">
        <f t="shared" si="6"/>
        <v>195466.51</v>
      </c>
    </row>
    <row r="142" spans="1:6">
      <c r="A142" s="23">
        <v>133</v>
      </c>
      <c r="B142" s="24">
        <v>45183</v>
      </c>
      <c r="C142" s="7" t="s">
        <v>129</v>
      </c>
      <c r="D142" s="15">
        <v>140000</v>
      </c>
      <c r="E142" s="5"/>
      <c r="F142" s="17">
        <f t="shared" ref="F142:F146" si="7">F141+E142-D142</f>
        <v>55466.510000000009</v>
      </c>
    </row>
    <row r="143" spans="1:6">
      <c r="A143" s="23">
        <v>134</v>
      </c>
      <c r="B143" s="24">
        <v>45183</v>
      </c>
      <c r="C143" s="7" t="s">
        <v>130</v>
      </c>
      <c r="D143" s="15">
        <v>10</v>
      </c>
      <c r="E143" s="5"/>
      <c r="F143" s="17">
        <f t="shared" si="7"/>
        <v>55456.510000000009</v>
      </c>
    </row>
    <row r="144" spans="1:6" ht="30">
      <c r="A144" s="23">
        <v>135</v>
      </c>
      <c r="B144" s="24">
        <v>45184</v>
      </c>
      <c r="C144" s="7" t="s">
        <v>131</v>
      </c>
      <c r="D144" s="15">
        <v>0</v>
      </c>
      <c r="E144" s="5">
        <v>10000</v>
      </c>
      <c r="F144" s="17">
        <f t="shared" si="7"/>
        <v>65456.510000000009</v>
      </c>
    </row>
    <row r="145" spans="1:8" ht="30">
      <c r="A145" s="23">
        <v>136</v>
      </c>
      <c r="B145" s="24">
        <v>45184</v>
      </c>
      <c r="C145" s="7" t="s">
        <v>131</v>
      </c>
      <c r="D145" s="15">
        <v>0</v>
      </c>
      <c r="E145" s="5">
        <v>10000</v>
      </c>
      <c r="F145" s="17">
        <f t="shared" si="7"/>
        <v>75456.510000000009</v>
      </c>
    </row>
    <row r="146" spans="1:8" ht="30">
      <c r="A146" s="23">
        <v>137</v>
      </c>
      <c r="B146" s="24">
        <v>45184</v>
      </c>
      <c r="C146" s="7" t="s">
        <v>132</v>
      </c>
      <c r="D146" s="15">
        <v>0</v>
      </c>
      <c r="E146" s="5">
        <v>7000</v>
      </c>
      <c r="F146" s="17">
        <f t="shared" si="7"/>
        <v>82456.510000000009</v>
      </c>
    </row>
    <row r="148" spans="1:8">
      <c r="A148" s="3"/>
      <c r="B148" s="3"/>
      <c r="C148" s="7"/>
      <c r="D148" s="14"/>
      <c r="E148" s="3"/>
      <c r="F148" s="3"/>
      <c r="G148" s="3"/>
      <c r="H148" s="3"/>
    </row>
    <row r="149" spans="1:8">
      <c r="A149" s="3"/>
      <c r="B149" s="3"/>
      <c r="C149" s="7"/>
      <c r="D149" s="14"/>
      <c r="E149" s="3"/>
      <c r="F149" s="3"/>
      <c r="G149" s="3"/>
      <c r="H149" s="3"/>
    </row>
    <row r="150" spans="1:8">
      <c r="A150" s="3"/>
      <c r="B150" s="3"/>
      <c r="C150" s="7"/>
      <c r="D150" s="14"/>
      <c r="E150" s="3"/>
      <c r="F150" s="3"/>
      <c r="G150" s="3"/>
      <c r="H150" s="3"/>
    </row>
    <row r="151" spans="1:8">
      <c r="A151" s="3"/>
      <c r="B151" s="3"/>
      <c r="C151" s="7"/>
      <c r="D151" s="14"/>
      <c r="E151" s="3"/>
      <c r="F151" s="3"/>
      <c r="G151" s="3"/>
      <c r="H151" s="3"/>
    </row>
    <row r="152" spans="1:8">
      <c r="A152" s="3"/>
      <c r="B152" s="3"/>
      <c r="C152" s="7"/>
      <c r="D152" s="14"/>
      <c r="E152" s="3"/>
      <c r="F152" s="3"/>
      <c r="G152" s="3"/>
      <c r="H152" s="3"/>
    </row>
    <row r="153" spans="1:8">
      <c r="A153" s="3"/>
      <c r="B153" s="3"/>
      <c r="C153" s="7"/>
      <c r="D153" s="14"/>
      <c r="E153" s="3"/>
      <c r="F153" s="3"/>
      <c r="G153" s="3"/>
      <c r="H153" s="3"/>
    </row>
    <row r="154" spans="1:8">
      <c r="A154" s="3"/>
      <c r="B154" s="3"/>
      <c r="C154" s="7"/>
      <c r="D154" s="14"/>
      <c r="E154" s="3"/>
      <c r="F154" s="3"/>
      <c r="G154" s="3"/>
      <c r="H154" s="3"/>
    </row>
    <row r="155" spans="1:8">
      <c r="A155" s="3"/>
      <c r="B155" s="3"/>
      <c r="C155" s="7"/>
      <c r="D155" s="14"/>
      <c r="E155" s="3"/>
      <c r="F155" s="3"/>
      <c r="G155" s="3"/>
      <c r="H155" s="3"/>
    </row>
    <row r="156" spans="1:8">
      <c r="A156" s="3"/>
      <c r="B156" s="3"/>
      <c r="C156" s="7"/>
      <c r="D156" s="14"/>
      <c r="E156" s="3"/>
      <c r="F156" s="3"/>
      <c r="G156" s="3"/>
      <c r="H156" s="3"/>
    </row>
    <row r="157" spans="1:8">
      <c r="A157" s="3"/>
      <c r="B157" s="3"/>
      <c r="C157" s="7"/>
      <c r="D157" s="14"/>
      <c r="E157" s="3"/>
      <c r="F157" s="3"/>
      <c r="G157" s="3"/>
      <c r="H157" s="3"/>
    </row>
    <row r="158" spans="1:8">
      <c r="A158" s="3"/>
      <c r="B158" s="3"/>
      <c r="C158" s="7"/>
      <c r="D158" s="14"/>
      <c r="E158" s="3"/>
      <c r="F158" s="3"/>
      <c r="G158" s="3"/>
      <c r="H158" s="3"/>
    </row>
    <row r="159" spans="1:8">
      <c r="A159" s="3"/>
      <c r="B159" s="3"/>
      <c r="C159" s="7"/>
      <c r="D159" s="14"/>
      <c r="E159" s="3"/>
      <c r="F159" s="3"/>
      <c r="G159" s="3"/>
      <c r="H159" s="3"/>
    </row>
    <row r="160" spans="1:8">
      <c r="A160" s="3"/>
      <c r="B160" s="3"/>
      <c r="C160" s="7"/>
      <c r="D160" s="14"/>
      <c r="E160" s="3"/>
      <c r="F160" s="3"/>
      <c r="G160" s="3"/>
      <c r="H160" s="3"/>
    </row>
    <row r="161" spans="1:8">
      <c r="A161" s="3"/>
      <c r="B161" s="3"/>
      <c r="C161" s="7"/>
      <c r="D161" s="14"/>
      <c r="E161" s="3"/>
      <c r="F161" s="3"/>
      <c r="G161" s="3"/>
      <c r="H161" s="3"/>
    </row>
    <row r="162" spans="1:8">
      <c r="A162" s="3"/>
      <c r="B162" s="3"/>
      <c r="C162" s="7"/>
      <c r="D162" s="14"/>
      <c r="E162" s="3"/>
      <c r="F162" s="3"/>
      <c r="G162" s="3"/>
      <c r="H162" s="3"/>
    </row>
    <row r="163" spans="1:8">
      <c r="A163" s="3"/>
      <c r="B163" s="3"/>
      <c r="C163" s="7"/>
      <c r="D163" s="14"/>
      <c r="E163" s="3"/>
      <c r="F163" s="3"/>
      <c r="G163" s="3"/>
      <c r="H163" s="3"/>
    </row>
    <row r="164" spans="1:8">
      <c r="A164" s="3"/>
      <c r="B164" s="3"/>
      <c r="C164" s="7"/>
      <c r="D164" s="14"/>
      <c r="E164" s="3"/>
      <c r="F164" s="3"/>
      <c r="G164" s="3"/>
      <c r="H164" s="3"/>
    </row>
    <row r="165" spans="1:8">
      <c r="A165" s="3"/>
      <c r="B165" s="3"/>
      <c r="C165" s="7"/>
      <c r="D165" s="14"/>
      <c r="E165" s="3"/>
      <c r="F165" s="3"/>
      <c r="G165" s="3"/>
      <c r="H165" s="3"/>
    </row>
    <row r="166" spans="1:8">
      <c r="A166" s="3"/>
      <c r="B166" s="3"/>
      <c r="C166" s="7"/>
      <c r="D166" s="14"/>
      <c r="E166" s="3"/>
      <c r="F166" s="3"/>
      <c r="G166" s="3"/>
      <c r="H166" s="3"/>
    </row>
    <row r="167" spans="1:8">
      <c r="A167" s="3"/>
      <c r="B167" s="3"/>
      <c r="C167" s="7"/>
      <c r="D167" s="14"/>
      <c r="E167" s="3"/>
      <c r="F167" s="3"/>
      <c r="G167" s="3"/>
      <c r="H167" s="3"/>
    </row>
    <row r="168" spans="1:8">
      <c r="A168" s="3"/>
      <c r="B168" s="3"/>
      <c r="C168" s="7"/>
      <c r="D168" s="14"/>
      <c r="E168" s="3"/>
      <c r="F168" s="3"/>
      <c r="G168" s="3"/>
      <c r="H168" s="3"/>
    </row>
    <row r="169" spans="1:8">
      <c r="A169" s="3"/>
      <c r="B169" s="3"/>
      <c r="C169" s="7"/>
      <c r="D169" s="14"/>
      <c r="E169" s="3"/>
      <c r="F169" s="3"/>
      <c r="G169" s="3"/>
      <c r="H169" s="3"/>
    </row>
    <row r="170" spans="1:8">
      <c r="A170" s="3"/>
      <c r="B170" s="3"/>
      <c r="C170" s="7"/>
      <c r="D170" s="14"/>
      <c r="E170" s="3"/>
      <c r="F170" s="3"/>
      <c r="G170" s="3"/>
      <c r="H170" s="3"/>
    </row>
    <row r="171" spans="1:8">
      <c r="A171" s="3"/>
      <c r="B171" s="3"/>
      <c r="C171" s="7"/>
      <c r="D171" s="14"/>
      <c r="E171" s="3"/>
      <c r="F171" s="3"/>
      <c r="G171" s="3"/>
      <c r="H171" s="3"/>
    </row>
    <row r="172" spans="1:8">
      <c r="A172" s="3"/>
      <c r="B172" s="3"/>
      <c r="C172" s="7"/>
      <c r="D172" s="14"/>
      <c r="E172" s="3"/>
      <c r="F172" s="3"/>
      <c r="G172" s="3"/>
      <c r="H172" s="3"/>
    </row>
    <row r="173" spans="1:8">
      <c r="A173" s="3"/>
      <c r="B173" s="3"/>
      <c r="C173" s="7"/>
      <c r="D173" s="14"/>
      <c r="E173" s="3"/>
      <c r="F173" s="3"/>
      <c r="G173" s="3"/>
      <c r="H173" s="3"/>
    </row>
    <row r="174" spans="1:8">
      <c r="A174" s="3"/>
      <c r="B174" s="3"/>
      <c r="C174" s="7"/>
      <c r="D174" s="14"/>
      <c r="E174" s="3"/>
      <c r="F174" s="3"/>
      <c r="G174" s="3"/>
      <c r="H174" s="3"/>
    </row>
    <row r="175" spans="1:8">
      <c r="A175" s="3"/>
      <c r="B175" s="3"/>
      <c r="C175" s="7"/>
      <c r="D175" s="14"/>
      <c r="E175" s="3"/>
      <c r="F175" s="3"/>
      <c r="G175" s="3"/>
      <c r="H175" s="3"/>
    </row>
    <row r="176" spans="1:8">
      <c r="A176" s="3"/>
      <c r="B176" s="3"/>
      <c r="C176" s="7"/>
      <c r="D176" s="14"/>
      <c r="E176" s="3"/>
      <c r="F176" s="3"/>
      <c r="G176" s="3"/>
      <c r="H176" s="3"/>
    </row>
    <row r="177" spans="1:8">
      <c r="A177" s="3"/>
      <c r="B177" s="3"/>
      <c r="C177" s="7"/>
      <c r="D177" s="14"/>
      <c r="E177" s="3"/>
      <c r="F177" s="3"/>
      <c r="G177" s="3"/>
      <c r="H177" s="3"/>
    </row>
    <row r="178" spans="1:8">
      <c r="A178" s="3"/>
      <c r="B178" s="3"/>
      <c r="C178" s="7"/>
      <c r="D178" s="14"/>
      <c r="E178" s="3"/>
      <c r="F178" s="3"/>
      <c r="G178" s="3"/>
      <c r="H178" s="3"/>
    </row>
    <row r="179" spans="1:8">
      <c r="A179" s="3"/>
      <c r="B179" s="3"/>
      <c r="C179" s="7"/>
      <c r="D179" s="14"/>
      <c r="E179" s="3"/>
      <c r="F179" s="3"/>
      <c r="G179" s="3"/>
      <c r="H179" s="3"/>
    </row>
  </sheetData>
  <mergeCells count="8">
    <mergeCell ref="A102:F102"/>
    <mergeCell ref="A127:F127"/>
    <mergeCell ref="A136:F136"/>
    <mergeCell ref="A1:L2"/>
    <mergeCell ref="C3:E3"/>
    <mergeCell ref="A47:F47"/>
    <mergeCell ref="A60:F60"/>
    <mergeCell ref="A78:F78"/>
  </mergeCells>
  <pageMargins left="0.7" right="0.7" top="0.75" bottom="0.75" header="0.3" footer="0.3"/>
  <pageSetup orientation="portrait" horizontalDpi="200" verticalDpi="200" copies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F29"/>
  <sheetViews>
    <sheetView workbookViewId="0">
      <selection activeCell="C15" sqref="C15"/>
    </sheetView>
  </sheetViews>
  <sheetFormatPr defaultRowHeight="15"/>
  <cols>
    <col min="2" max="2" width="16.140625" customWidth="1"/>
    <col min="3" max="3" width="51.5703125" customWidth="1"/>
    <col min="4" max="4" width="17.7109375" customWidth="1"/>
    <col min="5" max="5" width="15.85546875" customWidth="1"/>
    <col min="6" max="6" width="15.7109375" customWidth="1"/>
  </cols>
  <sheetData>
    <row r="3" spans="1:6">
      <c r="A3" s="2" t="s">
        <v>1</v>
      </c>
      <c r="B3" s="2" t="s">
        <v>7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30">
      <c r="A4" s="12">
        <v>1</v>
      </c>
      <c r="B4" s="9">
        <v>44988</v>
      </c>
      <c r="C4" s="13" t="s">
        <v>23</v>
      </c>
      <c r="D4" s="10">
        <v>100000</v>
      </c>
      <c r="E4" s="10">
        <v>0</v>
      </c>
      <c r="F4" s="11">
        <f>E4-D4</f>
        <v>-100000</v>
      </c>
    </row>
    <row r="5" spans="1:6" ht="30">
      <c r="A5" s="12">
        <v>2</v>
      </c>
      <c r="B5" s="9">
        <v>44989</v>
      </c>
      <c r="C5" s="13" t="s">
        <v>24</v>
      </c>
      <c r="D5" s="10">
        <v>100000</v>
      </c>
      <c r="E5" s="10">
        <v>0</v>
      </c>
      <c r="F5" s="11">
        <f t="shared" ref="F5:F18" si="0">E5-D5</f>
        <v>-100000</v>
      </c>
    </row>
    <row r="6" spans="1:6" ht="33.75" customHeight="1">
      <c r="A6" s="12">
        <v>3</v>
      </c>
      <c r="B6" s="9">
        <v>44990</v>
      </c>
      <c r="C6" s="13" t="s">
        <v>25</v>
      </c>
      <c r="D6" s="10">
        <v>70000</v>
      </c>
      <c r="E6" s="10">
        <v>0</v>
      </c>
      <c r="F6" s="11">
        <f t="shared" si="0"/>
        <v>-70000</v>
      </c>
    </row>
    <row r="7" spans="1:6" ht="33.75" customHeight="1">
      <c r="A7" s="12">
        <v>4</v>
      </c>
      <c r="B7" s="9">
        <v>44994</v>
      </c>
      <c r="C7" s="13" t="s">
        <v>26</v>
      </c>
      <c r="D7" s="10">
        <v>0</v>
      </c>
      <c r="E7" s="10">
        <v>70000</v>
      </c>
      <c r="F7" s="11">
        <f t="shared" si="0"/>
        <v>70000</v>
      </c>
    </row>
    <row r="8" spans="1:6" ht="33.75" customHeight="1">
      <c r="A8" s="12">
        <v>5</v>
      </c>
      <c r="B8" s="9">
        <v>45007</v>
      </c>
      <c r="C8" s="13" t="s">
        <v>49</v>
      </c>
      <c r="D8" s="10">
        <v>0</v>
      </c>
      <c r="E8" s="10">
        <v>200000</v>
      </c>
      <c r="F8" s="11">
        <f t="shared" si="0"/>
        <v>200000</v>
      </c>
    </row>
    <row r="9" spans="1:6" ht="33.75" customHeight="1">
      <c r="A9" s="12">
        <v>6</v>
      </c>
      <c r="B9" s="9">
        <v>45063</v>
      </c>
      <c r="C9" s="13" t="s">
        <v>74</v>
      </c>
      <c r="D9" s="10">
        <v>500000</v>
      </c>
      <c r="E9" s="10">
        <v>0</v>
      </c>
      <c r="F9" s="11">
        <f t="shared" si="0"/>
        <v>-500000</v>
      </c>
    </row>
    <row r="10" spans="1:6" ht="33.75" customHeight="1">
      <c r="A10" s="12">
        <v>7</v>
      </c>
      <c r="B10" s="9">
        <v>45064</v>
      </c>
      <c r="C10" s="13" t="s">
        <v>75</v>
      </c>
      <c r="D10" s="10">
        <v>0</v>
      </c>
      <c r="E10" s="10">
        <v>950000</v>
      </c>
      <c r="F10" s="11">
        <f t="shared" si="0"/>
        <v>950000</v>
      </c>
    </row>
    <row r="11" spans="1:6" ht="33.75" customHeight="1">
      <c r="A11" s="12">
        <v>8</v>
      </c>
      <c r="B11" s="9">
        <v>45090</v>
      </c>
      <c r="C11" s="13" t="s">
        <v>76</v>
      </c>
      <c r="D11" s="10">
        <v>200000</v>
      </c>
      <c r="E11" s="10">
        <v>0</v>
      </c>
      <c r="F11" s="11">
        <f t="shared" si="0"/>
        <v>-200000</v>
      </c>
    </row>
    <row r="12" spans="1:6" ht="33.75" customHeight="1">
      <c r="A12" s="12">
        <v>9</v>
      </c>
      <c r="B12" s="9">
        <v>45096</v>
      </c>
      <c r="C12" s="13" t="s">
        <v>91</v>
      </c>
      <c r="D12" s="10">
        <v>150000</v>
      </c>
      <c r="E12" s="10">
        <v>0</v>
      </c>
      <c r="F12" s="11">
        <f t="shared" si="0"/>
        <v>-150000</v>
      </c>
    </row>
    <row r="13" spans="1:6" ht="33.75" customHeight="1">
      <c r="A13" s="12">
        <v>10</v>
      </c>
      <c r="B13" s="9">
        <v>45096</v>
      </c>
      <c r="C13" s="13" t="s">
        <v>90</v>
      </c>
      <c r="D13" s="10">
        <v>0</v>
      </c>
      <c r="E13" s="10">
        <v>150000</v>
      </c>
      <c r="F13" s="11">
        <f t="shared" si="0"/>
        <v>150000</v>
      </c>
    </row>
    <row r="14" spans="1:6" ht="33.75" customHeight="1">
      <c r="A14" s="12">
        <v>11</v>
      </c>
      <c r="B14" s="9">
        <v>45117</v>
      </c>
      <c r="C14" s="13" t="s">
        <v>105</v>
      </c>
      <c r="D14" s="10">
        <v>0</v>
      </c>
      <c r="E14" s="10">
        <v>100010</v>
      </c>
      <c r="F14" s="11">
        <f t="shared" si="0"/>
        <v>100010</v>
      </c>
    </row>
    <row r="15" spans="1:6" ht="33.75" customHeight="1">
      <c r="A15" s="12">
        <v>12</v>
      </c>
      <c r="B15" s="9">
        <v>45133</v>
      </c>
      <c r="C15" s="13" t="s">
        <v>117</v>
      </c>
      <c r="D15" s="10">
        <v>150000</v>
      </c>
      <c r="E15" s="10">
        <v>0</v>
      </c>
      <c r="F15" s="11">
        <f t="shared" si="0"/>
        <v>-150000</v>
      </c>
    </row>
    <row r="16" spans="1:6" ht="33.75" customHeight="1">
      <c r="A16" s="12">
        <v>13</v>
      </c>
      <c r="B16" s="9">
        <v>45169</v>
      </c>
      <c r="C16" s="13" t="s">
        <v>117</v>
      </c>
      <c r="D16" s="10">
        <v>10000</v>
      </c>
      <c r="E16" s="10">
        <v>0</v>
      </c>
      <c r="F16" s="11">
        <f t="shared" si="0"/>
        <v>-10000</v>
      </c>
    </row>
    <row r="17" spans="1:6" ht="33.75" customHeight="1">
      <c r="A17" s="12">
        <v>14</v>
      </c>
      <c r="B17" s="9">
        <v>45183</v>
      </c>
      <c r="C17" s="13" t="s">
        <v>133</v>
      </c>
      <c r="D17" s="10">
        <v>0</v>
      </c>
      <c r="E17" s="10">
        <v>140000</v>
      </c>
      <c r="F17" s="11">
        <f t="shared" si="0"/>
        <v>140000</v>
      </c>
    </row>
    <row r="18" spans="1:6" ht="25.5" customHeight="1">
      <c r="A18" s="3"/>
      <c r="B18" s="3"/>
      <c r="C18" s="7"/>
      <c r="D18" s="11">
        <f>SUM(D4:D17)</f>
        <v>1280000</v>
      </c>
      <c r="E18" s="11">
        <f>SUM(E4:E17)</f>
        <v>1610010</v>
      </c>
      <c r="F18" s="11">
        <f t="shared" si="0"/>
        <v>330010</v>
      </c>
    </row>
    <row r="19" spans="1:6">
      <c r="C19" s="8"/>
    </row>
    <row r="20" spans="1:6">
      <c r="C20" s="8"/>
    </row>
    <row r="21" spans="1:6">
      <c r="C21" s="8"/>
    </row>
    <row r="22" spans="1:6">
      <c r="C22" s="8"/>
    </row>
    <row r="23" spans="1:6">
      <c r="C23" s="8"/>
    </row>
    <row r="24" spans="1:6">
      <c r="C24" s="8"/>
    </row>
    <row r="25" spans="1:6">
      <c r="C25" s="8"/>
    </row>
    <row r="26" spans="1:6">
      <c r="C26" s="8"/>
    </row>
    <row r="27" spans="1:6">
      <c r="C27" s="8"/>
    </row>
    <row r="28" spans="1:6">
      <c r="C28" s="8"/>
    </row>
    <row r="29" spans="1:6">
      <c r="C29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F46"/>
  <sheetViews>
    <sheetView topLeftCell="A16" workbookViewId="0">
      <selection activeCell="E8" sqref="E8"/>
    </sheetView>
  </sheetViews>
  <sheetFormatPr defaultRowHeight="15"/>
  <cols>
    <col min="2" max="2" width="12.5703125" customWidth="1"/>
    <col min="3" max="3" width="47.5703125" customWidth="1"/>
    <col min="4" max="4" width="18.28515625" customWidth="1"/>
    <col min="5" max="5" width="14.42578125" customWidth="1"/>
    <col min="6" max="6" width="17.7109375" customWidth="1"/>
    <col min="11" max="11" width="36.7109375" customWidth="1"/>
    <col min="12" max="12" width="24.7109375" customWidth="1"/>
  </cols>
  <sheetData>
    <row r="3" spans="1:6">
      <c r="A3" s="2" t="s">
        <v>1</v>
      </c>
      <c r="B3" s="2" t="s">
        <v>7</v>
      </c>
      <c r="C3" s="2" t="s">
        <v>2</v>
      </c>
      <c r="D3" s="2" t="s">
        <v>183</v>
      </c>
      <c r="E3" s="2" t="s">
        <v>184</v>
      </c>
      <c r="F3" s="2" t="s">
        <v>5</v>
      </c>
    </row>
    <row r="4" spans="1:6">
      <c r="A4" s="12">
        <v>1</v>
      </c>
      <c r="B4" s="4" t="s">
        <v>21</v>
      </c>
      <c r="C4" s="3" t="s">
        <v>22</v>
      </c>
      <c r="D4" s="3">
        <v>0</v>
      </c>
      <c r="E4" s="5">
        <v>2996</v>
      </c>
      <c r="F4" s="11">
        <f>E4-D4</f>
        <v>2996</v>
      </c>
    </row>
    <row r="5" spans="1:6">
      <c r="A5" s="12">
        <v>2</v>
      </c>
      <c r="B5" s="4">
        <v>44989</v>
      </c>
      <c r="C5" s="3" t="s">
        <v>27</v>
      </c>
      <c r="D5" s="5">
        <v>0</v>
      </c>
      <c r="E5" s="5">
        <v>200000</v>
      </c>
      <c r="F5" s="11">
        <f>F4+E5-D5</f>
        <v>202996</v>
      </c>
    </row>
    <row r="6" spans="1:6">
      <c r="A6" s="12">
        <v>3</v>
      </c>
      <c r="B6" s="4">
        <v>44990</v>
      </c>
      <c r="C6" s="3" t="s">
        <v>8</v>
      </c>
      <c r="D6" s="5">
        <v>0</v>
      </c>
      <c r="E6" s="5">
        <v>10000</v>
      </c>
      <c r="F6" s="11">
        <f t="shared" ref="F6:F42" si="0">F5+E6-D6</f>
        <v>212996</v>
      </c>
    </row>
    <row r="7" spans="1:6">
      <c r="A7" s="12">
        <v>4</v>
      </c>
      <c r="B7" s="4">
        <v>44990</v>
      </c>
      <c r="C7" s="3" t="s">
        <v>8</v>
      </c>
      <c r="D7" s="5">
        <v>0</v>
      </c>
      <c r="E7" s="5">
        <v>125000</v>
      </c>
      <c r="F7" s="11">
        <f t="shared" si="0"/>
        <v>337996</v>
      </c>
    </row>
    <row r="8" spans="1:6">
      <c r="A8" s="12">
        <v>5</v>
      </c>
      <c r="B8" s="4">
        <v>44992</v>
      </c>
      <c r="C8" s="3" t="s">
        <v>8</v>
      </c>
      <c r="D8" s="5">
        <v>0</v>
      </c>
      <c r="E8" s="5">
        <v>8000</v>
      </c>
      <c r="F8" s="11">
        <f t="shared" si="0"/>
        <v>345996</v>
      </c>
    </row>
    <row r="9" spans="1:6">
      <c r="A9" s="12">
        <v>6</v>
      </c>
      <c r="B9" s="4">
        <v>44994</v>
      </c>
      <c r="C9" s="3" t="s">
        <v>17</v>
      </c>
      <c r="D9" s="5">
        <v>127000</v>
      </c>
      <c r="E9" s="5">
        <v>0</v>
      </c>
      <c r="F9" s="11">
        <f t="shared" si="0"/>
        <v>218996</v>
      </c>
    </row>
    <row r="10" spans="1:6">
      <c r="A10" s="12">
        <v>7</v>
      </c>
      <c r="B10" s="4">
        <v>44997</v>
      </c>
      <c r="C10" s="3" t="s">
        <v>40</v>
      </c>
      <c r="D10" s="5">
        <v>18996</v>
      </c>
      <c r="E10" s="5">
        <v>0</v>
      </c>
      <c r="F10" s="11">
        <f t="shared" si="0"/>
        <v>200000</v>
      </c>
    </row>
    <row r="11" spans="1:6">
      <c r="A11" s="12">
        <v>8</v>
      </c>
      <c r="B11" s="4">
        <v>45000</v>
      </c>
      <c r="C11" s="3" t="s">
        <v>8</v>
      </c>
      <c r="D11" s="5">
        <v>0</v>
      </c>
      <c r="E11" s="5">
        <v>150000</v>
      </c>
      <c r="F11" s="11">
        <f t="shared" si="0"/>
        <v>350000</v>
      </c>
    </row>
    <row r="12" spans="1:6">
      <c r="A12" s="12">
        <v>9</v>
      </c>
      <c r="B12" s="4">
        <v>45002</v>
      </c>
      <c r="C12" s="3" t="s">
        <v>41</v>
      </c>
      <c r="D12" s="5">
        <v>200000</v>
      </c>
      <c r="E12" s="5">
        <v>0</v>
      </c>
      <c r="F12" s="11">
        <f t="shared" si="0"/>
        <v>150000</v>
      </c>
    </row>
    <row r="13" spans="1:6">
      <c r="A13" s="12">
        <v>10</v>
      </c>
      <c r="B13" s="4">
        <v>45004</v>
      </c>
      <c r="C13" s="3" t="s">
        <v>42</v>
      </c>
      <c r="D13" s="5">
        <v>0</v>
      </c>
      <c r="E13" s="5">
        <v>200000</v>
      </c>
      <c r="F13" s="11">
        <f t="shared" si="0"/>
        <v>350000</v>
      </c>
    </row>
    <row r="14" spans="1:6">
      <c r="A14" s="12">
        <v>11</v>
      </c>
      <c r="B14" s="4">
        <v>45005</v>
      </c>
      <c r="C14" s="3" t="s">
        <v>40</v>
      </c>
      <c r="D14" s="5">
        <v>150000</v>
      </c>
      <c r="E14" s="5">
        <v>0</v>
      </c>
      <c r="F14" s="11">
        <f>F13+E14-D14</f>
        <v>200000</v>
      </c>
    </row>
    <row r="15" spans="1:6">
      <c r="A15" s="12">
        <v>12</v>
      </c>
      <c r="B15" s="4">
        <v>45007</v>
      </c>
      <c r="C15" s="3" t="s">
        <v>50</v>
      </c>
      <c r="D15" s="5">
        <v>200000</v>
      </c>
      <c r="E15" s="5">
        <v>0</v>
      </c>
      <c r="F15" s="11">
        <f t="shared" si="0"/>
        <v>0</v>
      </c>
    </row>
    <row r="16" spans="1:6">
      <c r="A16" s="12">
        <v>13</v>
      </c>
      <c r="B16" s="4">
        <v>45022</v>
      </c>
      <c r="C16" s="3" t="s">
        <v>57</v>
      </c>
      <c r="D16" s="5">
        <v>45010</v>
      </c>
      <c r="E16" s="5">
        <v>0</v>
      </c>
      <c r="F16" s="11">
        <f t="shared" si="0"/>
        <v>-45010</v>
      </c>
    </row>
    <row r="17" spans="1:6">
      <c r="A17" s="12">
        <v>14</v>
      </c>
      <c r="B17" s="24">
        <v>45037</v>
      </c>
      <c r="C17" s="21" t="s">
        <v>62</v>
      </c>
      <c r="D17" s="17">
        <v>25000</v>
      </c>
      <c r="E17" s="5">
        <v>0</v>
      </c>
      <c r="F17" s="11">
        <f t="shared" si="0"/>
        <v>-70010</v>
      </c>
    </row>
    <row r="18" spans="1:6">
      <c r="A18" s="12">
        <v>15</v>
      </c>
      <c r="B18" s="24">
        <v>45037</v>
      </c>
      <c r="C18" s="21" t="s">
        <v>62</v>
      </c>
      <c r="D18" s="17">
        <v>25000</v>
      </c>
      <c r="E18" s="5">
        <v>0</v>
      </c>
      <c r="F18" s="11">
        <f t="shared" si="0"/>
        <v>-95010</v>
      </c>
    </row>
    <row r="19" spans="1:6">
      <c r="A19" s="12">
        <v>16</v>
      </c>
      <c r="B19" s="24">
        <v>45037</v>
      </c>
      <c r="C19" s="21" t="s">
        <v>62</v>
      </c>
      <c r="D19" s="17">
        <v>25000</v>
      </c>
      <c r="E19" s="5">
        <v>0</v>
      </c>
      <c r="F19" s="11">
        <f t="shared" si="0"/>
        <v>-120010</v>
      </c>
    </row>
    <row r="20" spans="1:6">
      <c r="A20" s="12">
        <v>17</v>
      </c>
      <c r="B20" s="24">
        <v>45037</v>
      </c>
      <c r="C20" s="21" t="s">
        <v>62</v>
      </c>
      <c r="D20" s="17">
        <v>5000</v>
      </c>
      <c r="E20" s="5">
        <v>0</v>
      </c>
      <c r="F20" s="11">
        <f t="shared" si="0"/>
        <v>-125010</v>
      </c>
    </row>
    <row r="21" spans="1:6">
      <c r="A21" s="12">
        <v>18</v>
      </c>
      <c r="B21" s="24">
        <v>45060</v>
      </c>
      <c r="C21" s="21" t="s">
        <v>68</v>
      </c>
      <c r="D21" s="17">
        <v>16510</v>
      </c>
      <c r="E21" s="5">
        <v>0</v>
      </c>
      <c r="F21" s="11">
        <f t="shared" si="0"/>
        <v>-141520</v>
      </c>
    </row>
    <row r="22" spans="1:6">
      <c r="A22" s="12">
        <v>19</v>
      </c>
      <c r="B22" s="24">
        <v>45076</v>
      </c>
      <c r="C22" s="21" t="s">
        <v>78</v>
      </c>
      <c r="D22" s="17">
        <v>4000</v>
      </c>
      <c r="E22" s="5">
        <v>0</v>
      </c>
      <c r="F22" s="11">
        <f t="shared" si="0"/>
        <v>-145520</v>
      </c>
    </row>
    <row r="23" spans="1:6">
      <c r="A23" s="12">
        <v>20</v>
      </c>
      <c r="B23" s="24">
        <v>45076</v>
      </c>
      <c r="C23" s="21" t="s">
        <v>78</v>
      </c>
      <c r="D23" s="17">
        <v>4000</v>
      </c>
      <c r="E23" s="5">
        <v>0</v>
      </c>
      <c r="F23" s="11">
        <f>F22+E23-D23</f>
        <v>-149520</v>
      </c>
    </row>
    <row r="24" spans="1:6">
      <c r="A24" s="12">
        <v>21</v>
      </c>
      <c r="B24" s="24">
        <v>45077</v>
      </c>
      <c r="C24" s="21" t="s">
        <v>79</v>
      </c>
      <c r="D24" s="17">
        <v>5000</v>
      </c>
      <c r="E24" s="5">
        <v>0</v>
      </c>
      <c r="F24" s="11">
        <f t="shared" si="0"/>
        <v>-154520</v>
      </c>
    </row>
    <row r="25" spans="1:6">
      <c r="A25" s="12">
        <v>22</v>
      </c>
      <c r="B25" s="24">
        <v>45082</v>
      </c>
      <c r="C25" s="21" t="s">
        <v>83</v>
      </c>
      <c r="D25" s="17">
        <v>820</v>
      </c>
      <c r="E25" s="5">
        <v>0</v>
      </c>
      <c r="F25" s="11">
        <f t="shared" si="0"/>
        <v>-155340</v>
      </c>
    </row>
    <row r="26" spans="1:6">
      <c r="A26" s="12">
        <v>23</v>
      </c>
      <c r="B26" s="24">
        <v>45084</v>
      </c>
      <c r="C26" s="21" t="s">
        <v>84</v>
      </c>
      <c r="D26" s="17">
        <v>3000</v>
      </c>
      <c r="E26" s="5"/>
      <c r="F26" s="11">
        <f t="shared" si="0"/>
        <v>-158340</v>
      </c>
    </row>
    <row r="27" spans="1:6">
      <c r="A27" s="12">
        <v>24</v>
      </c>
      <c r="B27" s="24">
        <v>45088</v>
      </c>
      <c r="C27" s="21" t="s">
        <v>69</v>
      </c>
      <c r="D27" s="17">
        <v>20000</v>
      </c>
      <c r="E27" s="5"/>
      <c r="F27" s="11">
        <f t="shared" si="0"/>
        <v>-178340</v>
      </c>
    </row>
    <row r="28" spans="1:6">
      <c r="A28" s="12">
        <v>25</v>
      </c>
      <c r="B28" s="24">
        <v>45089</v>
      </c>
      <c r="C28" s="21" t="s">
        <v>69</v>
      </c>
      <c r="D28" s="17">
        <v>5000</v>
      </c>
      <c r="E28" s="5"/>
      <c r="F28" s="11">
        <f t="shared" si="0"/>
        <v>-183340</v>
      </c>
    </row>
    <row r="29" spans="1:6">
      <c r="A29" s="12">
        <v>26</v>
      </c>
      <c r="B29" s="24">
        <v>45096</v>
      </c>
      <c r="C29" s="21" t="s">
        <v>93</v>
      </c>
      <c r="D29" s="17">
        <v>5000</v>
      </c>
      <c r="E29" s="5"/>
      <c r="F29" s="11">
        <f t="shared" si="0"/>
        <v>-188340</v>
      </c>
    </row>
    <row r="30" spans="1:6">
      <c r="A30" s="12">
        <v>27</v>
      </c>
      <c r="B30" s="24">
        <v>45100</v>
      </c>
      <c r="C30" s="7" t="s">
        <v>97</v>
      </c>
      <c r="D30" s="15">
        <v>100010</v>
      </c>
      <c r="E30" s="5"/>
      <c r="F30" s="11">
        <f t="shared" si="0"/>
        <v>-288350</v>
      </c>
    </row>
    <row r="31" spans="1:6">
      <c r="A31" s="12">
        <v>28</v>
      </c>
      <c r="B31" s="24">
        <v>45100</v>
      </c>
      <c r="C31" s="7" t="s">
        <v>97</v>
      </c>
      <c r="D31" s="15">
        <v>50000</v>
      </c>
      <c r="E31" s="5"/>
      <c r="F31" s="11">
        <f t="shared" si="0"/>
        <v>-338350</v>
      </c>
    </row>
    <row r="32" spans="1:6">
      <c r="A32" s="12">
        <v>29</v>
      </c>
      <c r="B32" s="24">
        <v>45108</v>
      </c>
      <c r="C32" s="7" t="s">
        <v>97</v>
      </c>
      <c r="D32" s="15">
        <v>5000</v>
      </c>
      <c r="E32" s="5"/>
      <c r="F32" s="11">
        <f>F31+E32-D32</f>
        <v>-343350</v>
      </c>
    </row>
    <row r="33" spans="1:6">
      <c r="A33" s="12">
        <v>30</v>
      </c>
      <c r="B33" s="24">
        <v>45110</v>
      </c>
      <c r="C33" s="7" t="s">
        <v>97</v>
      </c>
      <c r="D33" s="15">
        <v>5800</v>
      </c>
      <c r="E33" s="5"/>
      <c r="F33" s="11">
        <f t="shared" si="0"/>
        <v>-349150</v>
      </c>
    </row>
    <row r="34" spans="1:6">
      <c r="A34" s="12">
        <v>31</v>
      </c>
      <c r="B34" s="24">
        <v>45113</v>
      </c>
      <c r="C34" s="7" t="s">
        <v>98</v>
      </c>
      <c r="D34" s="15">
        <v>8311.49</v>
      </c>
      <c r="E34" s="5"/>
      <c r="F34" s="11">
        <f>F33+E34-D34</f>
        <v>-357461.49</v>
      </c>
    </row>
    <row r="35" spans="1:6">
      <c r="A35" s="12">
        <v>32</v>
      </c>
      <c r="B35" s="24">
        <v>45113</v>
      </c>
      <c r="C35" s="7" t="s">
        <v>99</v>
      </c>
      <c r="D35" s="15">
        <v>10700</v>
      </c>
      <c r="E35" s="5"/>
      <c r="F35" s="11">
        <f t="shared" si="0"/>
        <v>-368161.49</v>
      </c>
    </row>
    <row r="36" spans="1:6">
      <c r="A36" s="12">
        <v>33</v>
      </c>
      <c r="B36" s="24">
        <v>45113</v>
      </c>
      <c r="C36" s="7" t="s">
        <v>97</v>
      </c>
      <c r="D36" s="15">
        <v>5000</v>
      </c>
      <c r="E36" s="5"/>
      <c r="F36" s="11">
        <f t="shared" si="0"/>
        <v>-373161.49</v>
      </c>
    </row>
    <row r="37" spans="1:6">
      <c r="A37" s="12">
        <v>34</v>
      </c>
      <c r="B37" s="24">
        <v>45114</v>
      </c>
      <c r="C37" s="7" t="s">
        <v>100</v>
      </c>
      <c r="D37" s="15">
        <v>10010</v>
      </c>
      <c r="E37" s="5"/>
      <c r="F37" s="11">
        <f t="shared" si="0"/>
        <v>-383171.49</v>
      </c>
    </row>
    <row r="38" spans="1:6">
      <c r="A38" s="12">
        <v>35</v>
      </c>
      <c r="B38" s="24">
        <v>45131</v>
      </c>
      <c r="C38" s="7" t="s">
        <v>112</v>
      </c>
      <c r="D38" s="15">
        <v>3500</v>
      </c>
      <c r="E38" s="5"/>
      <c r="F38" s="11">
        <f t="shared" si="0"/>
        <v>-386671.49</v>
      </c>
    </row>
    <row r="39" spans="1:6">
      <c r="A39" s="12">
        <v>36</v>
      </c>
      <c r="B39" s="24">
        <v>45131</v>
      </c>
      <c r="C39" s="7" t="s">
        <v>113</v>
      </c>
      <c r="D39" s="15">
        <v>5000</v>
      </c>
      <c r="E39" s="5"/>
      <c r="F39" s="11">
        <f t="shared" si="0"/>
        <v>-391671.49</v>
      </c>
    </row>
    <row r="40" spans="1:6">
      <c r="A40" s="12">
        <v>37</v>
      </c>
      <c r="B40" s="24">
        <v>45136</v>
      </c>
      <c r="C40" s="7" t="s">
        <v>22</v>
      </c>
      <c r="D40" s="15">
        <v>5000</v>
      </c>
      <c r="E40" s="5"/>
      <c r="F40" s="11">
        <f t="shared" si="0"/>
        <v>-396671.49</v>
      </c>
    </row>
    <row r="41" spans="1:6" ht="30">
      <c r="A41" s="12">
        <v>38</v>
      </c>
      <c r="B41" s="24">
        <v>45148</v>
      </c>
      <c r="C41" s="7" t="s">
        <v>119</v>
      </c>
      <c r="D41" s="15">
        <v>20000</v>
      </c>
      <c r="E41" s="5">
        <v>0</v>
      </c>
      <c r="F41" s="11">
        <f t="shared" si="0"/>
        <v>-416671.49</v>
      </c>
    </row>
    <row r="42" spans="1:6">
      <c r="A42" s="12">
        <v>39</v>
      </c>
      <c r="B42" s="24">
        <v>45179</v>
      </c>
      <c r="C42" s="21" t="s">
        <v>22</v>
      </c>
      <c r="D42" s="17">
        <v>5500</v>
      </c>
      <c r="E42" s="5"/>
      <c r="F42" s="11">
        <f t="shared" si="0"/>
        <v>-422171.49</v>
      </c>
    </row>
    <row r="43" spans="1:6">
      <c r="A43" s="12">
        <v>40</v>
      </c>
      <c r="B43" s="24">
        <v>45179</v>
      </c>
      <c r="C43" s="21" t="s">
        <v>22</v>
      </c>
      <c r="D43" s="17">
        <v>10000</v>
      </c>
      <c r="E43" s="5"/>
      <c r="F43" s="11">
        <f>F42+E43-D43</f>
        <v>-432171.49</v>
      </c>
    </row>
    <row r="44" spans="1:6">
      <c r="A44" s="12"/>
      <c r="B44" s="24"/>
      <c r="C44" s="21"/>
      <c r="D44" s="17"/>
      <c r="E44" s="5"/>
      <c r="F44" s="6">
        <f t="shared" ref="F44" si="1">E44-D44</f>
        <v>0</v>
      </c>
    </row>
    <row r="45" spans="1:6">
      <c r="A45" s="3"/>
      <c r="B45" s="3"/>
      <c r="C45" s="7"/>
      <c r="D45" s="6">
        <f>SUM(D4:D44)</f>
        <v>1128167.49</v>
      </c>
      <c r="E45" s="6">
        <f>SUM(E4:E44)</f>
        <v>695996</v>
      </c>
      <c r="F45" s="6">
        <f>E45-D45</f>
        <v>-432171.49</v>
      </c>
    </row>
    <row r="46" spans="1:6">
      <c r="F4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9"/>
  <sheetViews>
    <sheetView topLeftCell="A4" workbookViewId="0">
      <selection activeCell="F36" sqref="F36"/>
    </sheetView>
  </sheetViews>
  <sheetFormatPr defaultRowHeight="15"/>
  <cols>
    <col min="1" max="1" width="3.5703125" style="47" customWidth="1"/>
    <col min="2" max="2" width="9.140625" style="47"/>
    <col min="4" max="4" width="24" customWidth="1"/>
    <col min="5" max="5" width="9.140625" style="52"/>
    <col min="6" max="6" width="10.5703125" style="52" bestFit="1" customWidth="1"/>
  </cols>
  <sheetData>
    <row r="1" spans="1:8">
      <c r="A1" s="78" t="s">
        <v>145</v>
      </c>
      <c r="B1" s="79"/>
      <c r="C1" s="79"/>
      <c r="D1" s="79"/>
      <c r="E1" s="79"/>
      <c r="F1" s="79"/>
      <c r="G1" s="79"/>
      <c r="H1" s="80"/>
    </row>
    <row r="2" spans="1:8" ht="15.75" thickBot="1">
      <c r="A2" s="81"/>
      <c r="B2" s="82"/>
      <c r="C2" s="82"/>
      <c r="D2" s="82"/>
      <c r="E2" s="82"/>
      <c r="F2" s="82"/>
      <c r="G2" s="82"/>
      <c r="H2" s="83"/>
    </row>
    <row r="3" spans="1:8" ht="15.75" thickBot="1"/>
    <row r="4" spans="1:8" ht="15.75" thickBot="1">
      <c r="A4" s="50" t="s">
        <v>146</v>
      </c>
      <c r="B4" s="49" t="s">
        <v>147</v>
      </c>
      <c r="C4" s="49" t="s">
        <v>148</v>
      </c>
      <c r="D4" s="49" t="s">
        <v>149</v>
      </c>
      <c r="E4" s="53" t="s">
        <v>150</v>
      </c>
      <c r="F4" s="53" t="s">
        <v>150</v>
      </c>
      <c r="G4" s="49"/>
      <c r="H4" s="48"/>
    </row>
    <row r="6" spans="1:8">
      <c r="A6" s="51">
        <v>1</v>
      </c>
      <c r="B6" s="51" t="s">
        <v>151</v>
      </c>
      <c r="C6" s="3"/>
      <c r="D6" s="3" t="s">
        <v>152</v>
      </c>
      <c r="E6" s="54"/>
      <c r="F6" s="54">
        <v>110</v>
      </c>
      <c r="G6" s="3"/>
      <c r="H6" s="3"/>
    </row>
    <row r="7" spans="1:8">
      <c r="A7" s="51">
        <v>2</v>
      </c>
      <c r="B7" s="51" t="s">
        <v>154</v>
      </c>
      <c r="C7" s="3"/>
      <c r="D7" s="3" t="s">
        <v>152</v>
      </c>
      <c r="E7" s="54"/>
      <c r="F7" s="54">
        <v>10</v>
      </c>
      <c r="G7" s="3"/>
      <c r="H7" s="3"/>
    </row>
    <row r="8" spans="1:8">
      <c r="A8" s="51">
        <v>3</v>
      </c>
      <c r="B8" s="51" t="s">
        <v>153</v>
      </c>
      <c r="C8" s="3"/>
      <c r="D8" s="3" t="s">
        <v>152</v>
      </c>
      <c r="E8" s="54"/>
      <c r="F8" s="54">
        <v>10</v>
      </c>
      <c r="G8" s="3"/>
      <c r="H8" s="3"/>
    </row>
    <row r="9" spans="1:8">
      <c r="A9" s="51">
        <v>4</v>
      </c>
      <c r="B9" s="51" t="s">
        <v>155</v>
      </c>
      <c r="C9" s="3"/>
      <c r="D9" s="3" t="s">
        <v>152</v>
      </c>
      <c r="E9" s="54"/>
      <c r="F9" s="54">
        <v>100</v>
      </c>
      <c r="G9" s="3"/>
      <c r="H9" s="3"/>
    </row>
    <row r="10" spans="1:8">
      <c r="A10" s="51">
        <v>5</v>
      </c>
      <c r="B10" s="51" t="s">
        <v>156</v>
      </c>
      <c r="C10" s="3"/>
      <c r="D10" s="3" t="s">
        <v>152</v>
      </c>
      <c r="E10" s="54"/>
      <c r="F10" s="54">
        <v>100</v>
      </c>
      <c r="G10" s="3"/>
      <c r="H10" s="3"/>
    </row>
    <row r="11" spans="1:8">
      <c r="A11" s="51">
        <v>6</v>
      </c>
      <c r="B11" s="51" t="s">
        <v>157</v>
      </c>
      <c r="C11" s="3"/>
      <c r="D11" s="3" t="s">
        <v>158</v>
      </c>
      <c r="E11" s="54"/>
      <c r="F11" s="54">
        <v>20000</v>
      </c>
      <c r="G11" s="3"/>
      <c r="H11" s="3"/>
    </row>
    <row r="12" spans="1:8">
      <c r="A12" s="51">
        <v>7</v>
      </c>
      <c r="B12" s="51" t="s">
        <v>159</v>
      </c>
      <c r="C12" s="3"/>
      <c r="D12" s="3" t="s">
        <v>160</v>
      </c>
      <c r="E12" s="54"/>
      <c r="F12" s="54">
        <v>2010</v>
      </c>
      <c r="G12" s="3"/>
      <c r="H12" s="3"/>
    </row>
    <row r="13" spans="1:8">
      <c r="A13" s="51">
        <v>8</v>
      </c>
      <c r="B13" s="51" t="s">
        <v>161</v>
      </c>
      <c r="C13" s="3"/>
      <c r="D13" s="55" t="s">
        <v>64</v>
      </c>
      <c r="E13" s="54"/>
      <c r="F13" s="54">
        <v>1640</v>
      </c>
      <c r="G13" s="3"/>
      <c r="H13" s="3"/>
    </row>
    <row r="14" spans="1:8">
      <c r="A14" s="51">
        <v>9</v>
      </c>
      <c r="B14" s="51" t="s">
        <v>162</v>
      </c>
      <c r="C14" s="3"/>
      <c r="D14" s="3" t="s">
        <v>152</v>
      </c>
      <c r="E14" s="54"/>
      <c r="F14" s="54">
        <v>60</v>
      </c>
      <c r="G14" s="3"/>
      <c r="H14" s="3"/>
    </row>
    <row r="15" spans="1:8">
      <c r="A15" s="51">
        <v>10</v>
      </c>
      <c r="B15" s="51" t="s">
        <v>163</v>
      </c>
      <c r="C15" s="3"/>
      <c r="D15" s="3" t="s">
        <v>164</v>
      </c>
      <c r="E15" s="54"/>
      <c r="F15" s="54">
        <v>475</v>
      </c>
      <c r="G15" s="3"/>
      <c r="H15" s="3"/>
    </row>
    <row r="16" spans="1:8">
      <c r="A16" s="51">
        <v>11</v>
      </c>
      <c r="B16" s="51" t="s">
        <v>166</v>
      </c>
      <c r="C16" s="3"/>
      <c r="D16" s="3" t="s">
        <v>165</v>
      </c>
      <c r="E16" s="54"/>
      <c r="F16" s="54">
        <v>500</v>
      </c>
      <c r="G16" s="3"/>
      <c r="H16" s="3"/>
    </row>
    <row r="17" spans="1:8">
      <c r="A17" s="51">
        <v>12</v>
      </c>
      <c r="B17" s="51" t="s">
        <v>167</v>
      </c>
      <c r="C17" s="3"/>
      <c r="D17" s="3" t="s">
        <v>168</v>
      </c>
      <c r="E17" s="54"/>
      <c r="F17" s="54">
        <v>2780</v>
      </c>
      <c r="G17" s="3"/>
      <c r="H17" s="3"/>
    </row>
    <row r="18" spans="1:8">
      <c r="A18" s="51">
        <v>13</v>
      </c>
      <c r="B18" s="51" t="s">
        <v>169</v>
      </c>
      <c r="C18" s="3"/>
      <c r="D18" s="3" t="s">
        <v>152</v>
      </c>
      <c r="E18" s="54"/>
      <c r="F18" s="54">
        <v>100</v>
      </c>
      <c r="G18" s="3"/>
      <c r="H18" s="3"/>
    </row>
    <row r="19" spans="1:8">
      <c r="A19" s="51">
        <v>14</v>
      </c>
      <c r="B19" s="51" t="s">
        <v>171</v>
      </c>
      <c r="C19" s="3"/>
      <c r="D19" s="3" t="s">
        <v>170</v>
      </c>
      <c r="E19" s="54"/>
      <c r="F19" s="54">
        <v>865</v>
      </c>
      <c r="G19" s="3"/>
      <c r="H19" s="3"/>
    </row>
    <row r="20" spans="1:8">
      <c r="A20" s="51">
        <v>15</v>
      </c>
      <c r="B20" s="51" t="s">
        <v>172</v>
      </c>
      <c r="C20" s="3"/>
      <c r="D20" s="3" t="s">
        <v>152</v>
      </c>
      <c r="E20" s="54"/>
      <c r="F20" s="54">
        <v>100</v>
      </c>
      <c r="G20" s="3"/>
      <c r="H20" s="3"/>
    </row>
    <row r="21" spans="1:8">
      <c r="A21" s="51">
        <v>16</v>
      </c>
      <c r="B21" s="51" t="s">
        <v>173</v>
      </c>
      <c r="C21" s="3"/>
      <c r="D21" s="3" t="s">
        <v>174</v>
      </c>
      <c r="E21" s="54"/>
      <c r="F21" s="54">
        <v>190010</v>
      </c>
      <c r="G21" s="3"/>
      <c r="H21" s="3"/>
    </row>
    <row r="22" spans="1:8">
      <c r="A22" s="51">
        <v>17</v>
      </c>
      <c r="B22" s="51" t="s">
        <v>175</v>
      </c>
      <c r="C22" s="3"/>
      <c r="D22" s="3" t="s">
        <v>170</v>
      </c>
      <c r="E22" s="54"/>
      <c r="F22" s="54">
        <v>1335</v>
      </c>
      <c r="G22" s="3"/>
      <c r="H22" s="3"/>
    </row>
    <row r="23" spans="1:8">
      <c r="A23" s="51">
        <v>18</v>
      </c>
      <c r="B23" s="51" t="s">
        <v>176</v>
      </c>
      <c r="C23" s="3"/>
      <c r="D23" s="3" t="s">
        <v>177</v>
      </c>
      <c r="E23" s="54"/>
      <c r="F23" s="54">
        <v>16010</v>
      </c>
      <c r="G23" s="3"/>
      <c r="H23" s="3"/>
    </row>
    <row r="24" spans="1:8">
      <c r="A24" s="51">
        <v>19</v>
      </c>
      <c r="B24" s="51" t="s">
        <v>178</v>
      </c>
      <c r="C24" s="3"/>
      <c r="D24" s="3" t="s">
        <v>179</v>
      </c>
      <c r="E24" s="54"/>
      <c r="F24" s="54">
        <v>1510</v>
      </c>
      <c r="G24" s="3"/>
      <c r="H24" s="3"/>
    </row>
    <row r="25" spans="1:8">
      <c r="A25" s="51">
        <v>20</v>
      </c>
      <c r="B25" s="51" t="s">
        <v>180</v>
      </c>
      <c r="C25" s="3"/>
      <c r="D25" s="3" t="s">
        <v>152</v>
      </c>
      <c r="E25" s="54"/>
      <c r="F25" s="54">
        <v>200</v>
      </c>
      <c r="G25" s="3"/>
      <c r="H25" s="3"/>
    </row>
    <row r="26" spans="1:8">
      <c r="A26" s="51">
        <v>21</v>
      </c>
      <c r="B26" s="51" t="s">
        <v>182</v>
      </c>
      <c r="C26" s="3"/>
      <c r="D26" s="3" t="s">
        <v>181</v>
      </c>
      <c r="E26" s="54"/>
      <c r="F26" s="54">
        <v>780</v>
      </c>
      <c r="G26" s="3"/>
      <c r="H26" s="3"/>
    </row>
    <row r="27" spans="1:8">
      <c r="A27" s="51">
        <v>22</v>
      </c>
      <c r="B27" s="51"/>
      <c r="C27" s="3"/>
      <c r="D27" s="3"/>
      <c r="E27" s="54"/>
      <c r="F27" s="54"/>
      <c r="G27" s="3"/>
      <c r="H27" s="3"/>
    </row>
    <row r="28" spans="1:8">
      <c r="A28" s="51">
        <v>23</v>
      </c>
      <c r="B28" s="51"/>
      <c r="C28" s="3"/>
      <c r="D28" s="3"/>
      <c r="E28" s="54"/>
      <c r="F28" s="54"/>
      <c r="G28" s="3"/>
      <c r="H28" s="3"/>
    </row>
    <row r="29" spans="1:8">
      <c r="A29" s="51">
        <v>24</v>
      </c>
      <c r="B29" s="51"/>
      <c r="C29" s="3"/>
      <c r="D29" s="3"/>
      <c r="E29" s="54"/>
      <c r="F29" s="54"/>
      <c r="G29" s="3"/>
      <c r="H29" s="3"/>
    </row>
    <row r="30" spans="1:8">
      <c r="A30" s="51">
        <v>25</v>
      </c>
      <c r="B30" s="51"/>
      <c r="C30" s="3"/>
      <c r="D30" s="3"/>
      <c r="E30" s="54"/>
      <c r="F30" s="54"/>
      <c r="G30" s="3"/>
      <c r="H30" s="3"/>
    </row>
    <row r="31" spans="1:8">
      <c r="A31" s="51">
        <v>26</v>
      </c>
      <c r="B31" s="51"/>
      <c r="C31" s="3"/>
      <c r="D31" s="3"/>
      <c r="E31" s="54"/>
      <c r="F31" s="54"/>
      <c r="G31" s="3"/>
      <c r="H31" s="3"/>
    </row>
    <row r="32" spans="1:8">
      <c r="A32" s="51">
        <v>27</v>
      </c>
      <c r="B32" s="51"/>
      <c r="C32" s="3"/>
      <c r="D32" s="3"/>
      <c r="E32" s="54"/>
      <c r="F32" s="54"/>
      <c r="G32" s="3"/>
      <c r="H32" s="3"/>
    </row>
    <row r="33" spans="1:8">
      <c r="A33" s="51">
        <v>28</v>
      </c>
      <c r="B33" s="51"/>
      <c r="C33" s="3"/>
      <c r="D33" s="3"/>
      <c r="E33" s="54"/>
      <c r="F33" s="54"/>
      <c r="G33" s="3"/>
      <c r="H33" s="3"/>
    </row>
    <row r="34" spans="1:8">
      <c r="A34" s="51">
        <v>29</v>
      </c>
      <c r="B34" s="51"/>
      <c r="C34" s="3"/>
      <c r="D34" s="3"/>
      <c r="E34" s="54"/>
      <c r="F34" s="54"/>
      <c r="G34" s="3"/>
      <c r="H34" s="3"/>
    </row>
    <row r="35" spans="1:8">
      <c r="A35" s="51">
        <v>30</v>
      </c>
      <c r="B35" s="51"/>
      <c r="C35" s="3"/>
      <c r="D35" s="3"/>
      <c r="E35" s="54"/>
      <c r="F35" s="54"/>
      <c r="G35" s="3"/>
      <c r="H35" s="3"/>
    </row>
    <row r="36" spans="1:8">
      <c r="A36" s="51">
        <v>31</v>
      </c>
      <c r="B36" s="51"/>
      <c r="C36" s="3"/>
      <c r="D36" s="3"/>
      <c r="E36" s="54"/>
      <c r="F36" s="54">
        <f>SUM(F6:F35)</f>
        <v>238705</v>
      </c>
      <c r="G36" s="3"/>
      <c r="H36" s="3"/>
    </row>
    <row r="37" spans="1:8">
      <c r="A37" s="51">
        <v>32</v>
      </c>
      <c r="B37" s="51"/>
      <c r="C37" s="3"/>
      <c r="D37" s="3"/>
      <c r="E37" s="54"/>
      <c r="F37" s="54"/>
      <c r="G37" s="3"/>
      <c r="H37" s="3"/>
    </row>
    <row r="38" spans="1:8">
      <c r="A38" s="51">
        <v>33</v>
      </c>
      <c r="B38" s="51"/>
      <c r="C38" s="3"/>
      <c r="D38" s="3"/>
      <c r="E38" s="54"/>
      <c r="F38" s="54"/>
      <c r="G38" s="3"/>
      <c r="H38" s="3"/>
    </row>
    <row r="39" spans="1:8">
      <c r="A39" s="51">
        <v>34</v>
      </c>
      <c r="B39" s="51"/>
      <c r="C39" s="3"/>
      <c r="D39" s="3"/>
      <c r="E39" s="54"/>
      <c r="F39" s="54"/>
      <c r="G39" s="3"/>
      <c r="H39" s="3"/>
    </row>
    <row r="40" spans="1:8">
      <c r="A40" s="51">
        <v>35</v>
      </c>
      <c r="B40" s="51"/>
      <c r="C40" s="3"/>
      <c r="D40" s="3"/>
      <c r="E40" s="54"/>
      <c r="F40" s="54"/>
      <c r="G40" s="3"/>
      <c r="H40" s="3"/>
    </row>
    <row r="41" spans="1:8">
      <c r="A41" s="51">
        <v>36</v>
      </c>
      <c r="B41" s="51"/>
      <c r="C41" s="3"/>
      <c r="D41" s="3"/>
      <c r="E41" s="54"/>
      <c r="F41" s="54"/>
      <c r="G41" s="3"/>
      <c r="H41" s="3"/>
    </row>
    <row r="42" spans="1:8">
      <c r="A42" s="51">
        <v>37</v>
      </c>
      <c r="B42" s="51"/>
      <c r="C42" s="3"/>
      <c r="D42" s="3"/>
      <c r="E42" s="54"/>
      <c r="F42" s="54"/>
      <c r="G42" s="3"/>
      <c r="H42" s="3"/>
    </row>
    <row r="43" spans="1:8">
      <c r="A43" s="51">
        <v>38</v>
      </c>
      <c r="B43" s="51"/>
      <c r="C43" s="3"/>
      <c r="D43" s="3"/>
      <c r="E43" s="54"/>
      <c r="F43" s="54"/>
      <c r="G43" s="3"/>
      <c r="H43" s="3"/>
    </row>
    <row r="44" spans="1:8">
      <c r="A44" s="51">
        <v>39</v>
      </c>
      <c r="B44" s="51"/>
      <c r="C44" s="3"/>
      <c r="D44" s="3"/>
      <c r="E44" s="54"/>
      <c r="F44" s="54"/>
      <c r="G44" s="3"/>
      <c r="H44" s="3"/>
    </row>
    <row r="45" spans="1:8">
      <c r="A45" s="51">
        <v>40</v>
      </c>
      <c r="B45" s="51"/>
      <c r="C45" s="3"/>
      <c r="D45" s="3"/>
      <c r="E45" s="54"/>
      <c r="F45" s="54"/>
      <c r="G45" s="3"/>
      <c r="H45" s="3"/>
    </row>
    <row r="46" spans="1:8">
      <c r="A46" s="51">
        <v>41</v>
      </c>
      <c r="B46" s="51"/>
      <c r="C46" s="3"/>
      <c r="D46" s="3"/>
      <c r="E46" s="54"/>
      <c r="F46" s="54"/>
      <c r="G46" s="3"/>
      <c r="H46" s="3"/>
    </row>
    <row r="47" spans="1:8">
      <c r="A47" s="51">
        <v>42</v>
      </c>
      <c r="B47" s="51"/>
      <c r="C47" s="3"/>
      <c r="D47" s="3"/>
      <c r="E47" s="54"/>
      <c r="F47" s="54"/>
      <c r="G47" s="3"/>
      <c r="H47" s="3"/>
    </row>
    <row r="48" spans="1:8">
      <c r="A48" s="51">
        <v>43</v>
      </c>
    </row>
    <row r="49" spans="1:1">
      <c r="A49" s="51">
        <v>44</v>
      </c>
    </row>
  </sheetData>
  <mergeCells count="1">
    <mergeCell ref="A1:H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COMPANY ACCOUNT</vt:lpstr>
      <vt:lpstr>BIPIN SIR</vt:lpstr>
      <vt:lpstr>KALYAN KARN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Karn</dc:creator>
  <cp:lastModifiedBy>Nandita</cp:lastModifiedBy>
  <dcterms:created xsi:type="dcterms:W3CDTF">2023-03-12T15:32:49Z</dcterms:created>
  <dcterms:modified xsi:type="dcterms:W3CDTF">2024-01-09T11:32:58Z</dcterms:modified>
</cp:coreProperties>
</file>