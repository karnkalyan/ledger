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ALE" sheetId="1" r:id="rId1"/>
    <sheet name="PAYMENT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L36" i="1"/>
  <c r="K34"/>
  <c r="K35"/>
  <c r="K36"/>
  <c r="J34"/>
  <c r="J36"/>
  <c r="I34"/>
  <c r="I36"/>
  <c r="I20"/>
  <c r="I32" l="1"/>
  <c r="J32" s="1"/>
  <c r="K32" s="1"/>
  <c r="I33"/>
  <c r="J33" s="1"/>
  <c r="K33" s="1"/>
  <c r="I29"/>
  <c r="J29" s="1"/>
  <c r="K29" s="1"/>
  <c r="L29" s="1"/>
  <c r="K23"/>
  <c r="K24"/>
  <c r="I26"/>
  <c r="J26" s="1"/>
  <c r="K26" s="1"/>
  <c r="I25"/>
  <c r="J25" s="1"/>
  <c r="K25" s="1"/>
  <c r="I22"/>
  <c r="J22" s="1"/>
  <c r="K22" s="1"/>
  <c r="L22" s="1"/>
  <c r="I18"/>
  <c r="J18" s="1"/>
  <c r="K18" s="1"/>
  <c r="L18" s="1"/>
  <c r="J15"/>
  <c r="K15" s="1"/>
  <c r="I15"/>
  <c r="I14"/>
  <c r="J14" s="1"/>
  <c r="K14" s="1"/>
  <c r="L25" l="1"/>
  <c r="L14"/>
  <c r="L32"/>
</calcChain>
</file>

<file path=xl/sharedStrings.xml><?xml version="1.0" encoding="utf-8"?>
<sst xmlns="http://schemas.openxmlformats.org/spreadsheetml/2006/main" count="108" uniqueCount="90">
  <si>
    <t xml:space="preserve">S NO </t>
  </si>
  <si>
    <t xml:space="preserve">MITTI </t>
  </si>
  <si>
    <t>DATE</t>
  </si>
  <si>
    <t>CLIENT NAME</t>
  </si>
  <si>
    <t>PRODUCT NAME</t>
  </si>
  <si>
    <t>QTY</t>
  </si>
  <si>
    <t>RATE</t>
  </si>
  <si>
    <t>TOTAL</t>
  </si>
  <si>
    <t>VAT</t>
  </si>
  <si>
    <t xml:space="preserve">TOTAL </t>
  </si>
  <si>
    <t xml:space="preserve">BILL </t>
  </si>
  <si>
    <t>PAYMENT</t>
  </si>
  <si>
    <t>AMOUNT</t>
  </si>
  <si>
    <t>CHQ</t>
  </si>
  <si>
    <t>CASH</t>
  </si>
  <si>
    <t xml:space="preserve">ONLINE </t>
  </si>
  <si>
    <t>CREDIT</t>
  </si>
  <si>
    <t>15.04.80</t>
  </si>
  <si>
    <t>Nepal news Bank pvt ltd</t>
  </si>
  <si>
    <t xml:space="preserve">Ak Usd 3.0 HDMI capture </t>
  </si>
  <si>
    <t xml:space="preserve">Nepal news bank pvt ltd </t>
  </si>
  <si>
    <t xml:space="preserve">4K USD 3.0 HDMI capture </t>
  </si>
  <si>
    <t xml:space="preserve">VAT </t>
  </si>
  <si>
    <t>BILL NO</t>
  </si>
  <si>
    <t>PAYMENT RECEIVED</t>
  </si>
  <si>
    <t>S NO</t>
  </si>
  <si>
    <t xml:space="preserve">DATE </t>
  </si>
  <si>
    <t xml:space="preserve">PARTY NAME </t>
  </si>
  <si>
    <t>REMARKS</t>
  </si>
  <si>
    <t xml:space="preserve">BILL NO </t>
  </si>
  <si>
    <t>SALE 2080-81</t>
  </si>
  <si>
    <t>05.05.80</t>
  </si>
  <si>
    <t>simucast technologies pvt ltd</t>
  </si>
  <si>
    <t>SDI TO HDMI CONVERTER</t>
  </si>
  <si>
    <t>4K*2K HDMI SPLITTER</t>
  </si>
  <si>
    <t>15.05.80</t>
  </si>
  <si>
    <t xml:space="preserve">simulcast </t>
  </si>
  <si>
    <t>yolo box pro EM</t>
  </si>
  <si>
    <t>17.06.80</t>
  </si>
  <si>
    <t>EMAZING PVT LTD</t>
  </si>
  <si>
    <t xml:space="preserve">DTECH HDMI CABLE 10 M </t>
  </si>
  <si>
    <t>28.06.80</t>
  </si>
  <si>
    <t>16.10.23</t>
  </si>
  <si>
    <t xml:space="preserve">simulcast tech pvt ltd </t>
  </si>
  <si>
    <t xml:space="preserve">HDMI 4K 50M </t>
  </si>
  <si>
    <t>HDMI 4K 30M</t>
  </si>
  <si>
    <t>22.07.80</t>
  </si>
  <si>
    <t>08.11.23</t>
  </si>
  <si>
    <t>HDMI 30M CABLE</t>
  </si>
  <si>
    <t>08.08.80</t>
  </si>
  <si>
    <t>24.11.23</t>
  </si>
  <si>
    <t xml:space="preserve">AUDIO CRAFT NEPAL PVT LTD </t>
  </si>
  <si>
    <t>60M DROP CABLE</t>
  </si>
  <si>
    <t>SC-SC ADAPTER</t>
  </si>
  <si>
    <t>04.10.23</t>
  </si>
  <si>
    <t>30.06.23</t>
  </si>
  <si>
    <t>31.04.80</t>
  </si>
  <si>
    <t>16.08.23</t>
  </si>
  <si>
    <t>NEPAL NEWS BANK LTD</t>
  </si>
  <si>
    <t xml:space="preserve">266 TDS </t>
  </si>
  <si>
    <t xml:space="preserve">FULL </t>
  </si>
  <si>
    <t>PARTIAL</t>
  </si>
  <si>
    <t>1,2</t>
  </si>
  <si>
    <t xml:space="preserve">BIKASH SHARMA PBL CIPS </t>
  </si>
  <si>
    <t>4CH HDMI PCIE CAPTURE Card VC 42</t>
  </si>
  <si>
    <t>17.08.23</t>
  </si>
  <si>
    <t xml:space="preserve">emazing pvt ltd </t>
  </si>
  <si>
    <t>5,8</t>
  </si>
  <si>
    <t>22.07.23</t>
  </si>
  <si>
    <t>14.09.23</t>
  </si>
  <si>
    <t>28.05.80</t>
  </si>
  <si>
    <t>20.09.23</t>
  </si>
  <si>
    <t>simulcast</t>
  </si>
  <si>
    <t>03.06.80</t>
  </si>
  <si>
    <t>25.09.23</t>
  </si>
  <si>
    <t>26.09.23</t>
  </si>
  <si>
    <t>08.06.80</t>
  </si>
  <si>
    <t>09.06.80</t>
  </si>
  <si>
    <t>21.10.23</t>
  </si>
  <si>
    <t>23.10.23</t>
  </si>
  <si>
    <t>04.07.80</t>
  </si>
  <si>
    <t>06.07.23</t>
  </si>
  <si>
    <t xml:space="preserve">audio craft nepal pvt ltd </t>
  </si>
  <si>
    <t>28.11.23</t>
  </si>
  <si>
    <t>12.08.80</t>
  </si>
  <si>
    <t>09.08.2080</t>
  </si>
  <si>
    <t>25.11.23</t>
  </si>
  <si>
    <t>server Dell T40</t>
  </si>
  <si>
    <t>22.08.23</t>
  </si>
  <si>
    <t>01.09.23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</si>
</sst>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.0_);_(* \(#,##0.0\);_(* &quot;-&quot;??_);_(@_)"/>
    <numFmt numFmtId="165" formatCode="_(* #,##0.0_);_(* \(#,##0.0\);_(* &quot;-&quot;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b/>
      <sz val="8"/>
      <color theme="1"/>
      <name val="Cambria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vertical="center"/>
    </xf>
    <xf numFmtId="43" fontId="0" fillId="0" borderId="0" xfId="1" applyFont="1" applyAlignment="1">
      <alignment vertical="center"/>
    </xf>
    <xf numFmtId="43" fontId="0" fillId="0" borderId="0" xfId="1" applyFont="1"/>
    <xf numFmtId="0" fontId="6" fillId="3" borderId="10" xfId="0" applyFont="1" applyFill="1" applyBorder="1" applyAlignment="1">
      <alignment horizontal="center" vertical="center"/>
    </xf>
    <xf numFmtId="43" fontId="3" fillId="3" borderId="10" xfId="1" applyFont="1" applyFill="1" applyBorder="1" applyAlignment="1">
      <alignment horizontal="center" vertical="center"/>
    </xf>
    <xf numFmtId="43" fontId="3" fillId="3" borderId="11" xfId="1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0" xfId="0" applyFill="1" applyBorder="1"/>
    <xf numFmtId="0" fontId="6" fillId="3" borderId="10" xfId="0" applyFont="1" applyFill="1" applyBorder="1" applyAlignment="1">
      <alignment vertical="center"/>
    </xf>
    <xf numFmtId="43" fontId="3" fillId="3" borderId="10" xfId="1" applyFont="1" applyFill="1" applyBorder="1" applyAlignment="1">
      <alignment vertical="center"/>
    </xf>
    <xf numFmtId="43" fontId="5" fillId="3" borderId="10" xfId="1" applyFont="1" applyFill="1" applyBorder="1"/>
    <xf numFmtId="0" fontId="5" fillId="3" borderId="10" xfId="0" applyFont="1" applyFill="1" applyBorder="1" applyAlignment="1">
      <alignment horizontal="center" vertical="center"/>
    </xf>
    <xf numFmtId="0" fontId="0" fillId="0" borderId="10" xfId="0" applyBorder="1"/>
    <xf numFmtId="0" fontId="2" fillId="4" borderId="10" xfId="0" applyFont="1" applyFill="1" applyBorder="1"/>
    <xf numFmtId="0" fontId="0" fillId="5" borderId="10" xfId="0" applyFill="1" applyBorder="1"/>
    <xf numFmtId="0" fontId="0" fillId="4" borderId="10" xfId="0" applyFill="1" applyBorder="1"/>
    <xf numFmtId="164" fontId="0" fillId="0" borderId="0" xfId="1" applyNumberFormat="1" applyFont="1" applyAlignment="1">
      <alignment vertical="center"/>
    </xf>
    <xf numFmtId="164" fontId="3" fillId="3" borderId="10" xfId="1" applyNumberFormat="1" applyFont="1" applyFill="1" applyBorder="1" applyAlignment="1">
      <alignment horizontal="center" vertical="center"/>
    </xf>
    <xf numFmtId="164" fontId="3" fillId="3" borderId="10" xfId="1" applyNumberFormat="1" applyFont="1" applyFill="1" applyBorder="1" applyAlignment="1">
      <alignment vertical="center"/>
    </xf>
    <xf numFmtId="164" fontId="0" fillId="0" borderId="10" xfId="0" applyNumberFormat="1" applyBorder="1"/>
    <xf numFmtId="164" fontId="0" fillId="5" borderId="10" xfId="0" applyNumberFormat="1" applyFill="1" applyBorder="1"/>
    <xf numFmtId="164" fontId="0" fillId="0" borderId="0" xfId="0" applyNumberFormat="1"/>
    <xf numFmtId="0" fontId="0" fillId="6" borderId="10" xfId="0" applyFill="1" applyBorder="1"/>
    <xf numFmtId="164" fontId="0" fillId="6" borderId="10" xfId="0" applyNumberFormat="1" applyFill="1" applyBorder="1"/>
    <xf numFmtId="164" fontId="0" fillId="0" borderId="10" xfId="0" applyNumberFormat="1" applyBorder="1" applyAlignment="1"/>
    <xf numFmtId="0" fontId="0" fillId="6" borderId="10" xfId="0" applyFill="1" applyBorder="1" applyAlignment="1"/>
    <xf numFmtId="0" fontId="0" fillId="7" borderId="10" xfId="0" applyFill="1" applyBorder="1"/>
    <xf numFmtId="0" fontId="0" fillId="8" borderId="10" xfId="0" applyFill="1" applyBorder="1"/>
    <xf numFmtId="164" fontId="0" fillId="8" borderId="10" xfId="0" applyNumberFormat="1" applyFill="1" applyBorder="1"/>
    <xf numFmtId="0" fontId="0" fillId="0" borderId="10" xfId="0" applyBorder="1" applyAlignment="1">
      <alignment horizontal="center"/>
    </xf>
    <xf numFmtId="0" fontId="2" fillId="9" borderId="10" xfId="0" applyFont="1" applyFill="1" applyBorder="1"/>
    <xf numFmtId="0" fontId="0" fillId="9" borderId="10" xfId="0" applyFill="1" applyBorder="1"/>
    <xf numFmtId="0" fontId="0" fillId="0" borderId="0" xfId="0" applyAlignment="1">
      <alignment horizontal="center"/>
    </xf>
    <xf numFmtId="0" fontId="0" fillId="0" borderId="10" xfId="0" applyFill="1" applyBorder="1"/>
    <xf numFmtId="43" fontId="0" fillId="0" borderId="10" xfId="1" applyFont="1" applyBorder="1"/>
    <xf numFmtId="165" fontId="0" fillId="0" borderId="9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43" fontId="0" fillId="0" borderId="9" xfId="0" applyNumberFormat="1" applyBorder="1" applyAlignment="1">
      <alignment horizontal="center"/>
    </xf>
    <xf numFmtId="43" fontId="0" fillId="0" borderId="14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3" borderId="22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0" fontId="8" fillId="6" borderId="10" xfId="0" applyFont="1" applyFill="1" applyBorder="1" applyAlignment="1">
      <alignment horizontal="center"/>
    </xf>
    <xf numFmtId="0" fontId="8" fillId="8" borderId="10" xfId="0" applyFont="1" applyFill="1" applyBorder="1" applyAlignment="1">
      <alignment horizontal="center"/>
    </xf>
    <xf numFmtId="0" fontId="8" fillId="10" borderId="10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7"/>
  <sheetViews>
    <sheetView tabSelected="1" topLeftCell="A16" workbookViewId="0">
      <selection activeCell="D6" sqref="D6"/>
    </sheetView>
  </sheetViews>
  <sheetFormatPr defaultRowHeight="15"/>
  <cols>
    <col min="1" max="1" width="3.5703125" customWidth="1"/>
    <col min="4" max="4" width="5.140625" style="69" customWidth="1"/>
    <col min="5" max="5" width="27.28515625" bestFit="1" customWidth="1"/>
    <col min="6" max="6" width="42.28515625" bestFit="1" customWidth="1"/>
    <col min="11" max="11" width="10.5703125" style="22" bestFit="1" customWidth="1"/>
    <col min="12" max="12" width="10.5703125" bestFit="1" customWidth="1"/>
  </cols>
  <sheetData>
    <row r="1" spans="1:20">
      <c r="A1" s="42" t="s">
        <v>30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4"/>
    </row>
    <row r="2" spans="1:20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7"/>
    </row>
    <row r="3" spans="1:20" ht="15.75" thickBot="1">
      <c r="A3" s="48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50"/>
    </row>
    <row r="4" spans="1:20">
      <c r="G4" s="1"/>
      <c r="H4" s="2"/>
      <c r="I4" s="2"/>
      <c r="J4" s="2"/>
      <c r="K4" s="17"/>
      <c r="L4" s="3"/>
    </row>
    <row r="5" spans="1:20" ht="15.75">
      <c r="A5" s="51" t="s">
        <v>0</v>
      </c>
      <c r="B5" s="53" t="s">
        <v>1</v>
      </c>
      <c r="C5" s="55" t="s">
        <v>2</v>
      </c>
      <c r="D5" s="75" t="s">
        <v>22</v>
      </c>
      <c r="E5" s="55" t="s">
        <v>3</v>
      </c>
      <c r="F5" s="55" t="s">
        <v>4</v>
      </c>
      <c r="G5" s="4" t="s">
        <v>5</v>
      </c>
      <c r="H5" s="5" t="s">
        <v>6</v>
      </c>
      <c r="I5" s="5" t="s">
        <v>7</v>
      </c>
      <c r="J5" s="5" t="s">
        <v>8</v>
      </c>
      <c r="K5" s="18" t="s">
        <v>9</v>
      </c>
      <c r="L5" s="6" t="s">
        <v>10</v>
      </c>
      <c r="M5" s="57" t="s">
        <v>11</v>
      </c>
      <c r="N5" s="58"/>
      <c r="O5" s="58"/>
      <c r="P5" s="59"/>
      <c r="Q5" s="7"/>
      <c r="R5" s="7"/>
      <c r="S5" s="8"/>
      <c r="T5" s="8"/>
    </row>
    <row r="6" spans="1:20" ht="15.75">
      <c r="A6" s="52"/>
      <c r="B6" s="54"/>
      <c r="C6" s="56"/>
      <c r="D6" s="76" t="s">
        <v>23</v>
      </c>
      <c r="E6" s="56"/>
      <c r="F6" s="56"/>
      <c r="G6" s="9"/>
      <c r="H6" s="10"/>
      <c r="I6" s="10"/>
      <c r="J6" s="10"/>
      <c r="K6" s="19"/>
      <c r="L6" s="11" t="s">
        <v>12</v>
      </c>
      <c r="M6" s="12" t="s">
        <v>13</v>
      </c>
      <c r="N6" s="12" t="s">
        <v>14</v>
      </c>
      <c r="O6" s="12" t="s">
        <v>15</v>
      </c>
      <c r="P6" s="12" t="s">
        <v>16</v>
      </c>
      <c r="Q6" s="8"/>
      <c r="R6" s="8"/>
      <c r="S6" s="8"/>
      <c r="T6" s="8"/>
    </row>
    <row r="7" spans="1:20">
      <c r="A7" s="13"/>
      <c r="B7" s="13"/>
      <c r="C7" s="13"/>
      <c r="D7" s="70"/>
      <c r="E7" s="13"/>
      <c r="F7" s="13"/>
      <c r="G7" s="13"/>
      <c r="H7" s="13"/>
      <c r="I7" s="13"/>
      <c r="J7" s="13"/>
      <c r="K7" s="20"/>
      <c r="L7" s="13"/>
      <c r="M7" s="13"/>
      <c r="N7" s="13"/>
      <c r="O7" s="13"/>
      <c r="P7" s="13"/>
      <c r="Q7" s="13"/>
    </row>
    <row r="8" spans="1:20">
      <c r="A8" s="13">
        <v>1</v>
      </c>
      <c r="B8" s="13" t="s">
        <v>17</v>
      </c>
      <c r="C8" s="13" t="s">
        <v>55</v>
      </c>
      <c r="D8" s="70">
        <v>1</v>
      </c>
      <c r="E8" s="13" t="s">
        <v>18</v>
      </c>
      <c r="F8" s="13" t="s">
        <v>19</v>
      </c>
      <c r="G8" s="13">
        <v>1</v>
      </c>
      <c r="H8" s="13">
        <v>8850</v>
      </c>
      <c r="I8" s="13">
        <v>8850</v>
      </c>
      <c r="J8" s="13">
        <v>1150</v>
      </c>
      <c r="K8" s="20">
        <v>10000</v>
      </c>
      <c r="L8" s="13">
        <v>10000</v>
      </c>
      <c r="M8" s="13"/>
      <c r="N8" s="13"/>
      <c r="O8" s="14"/>
      <c r="P8" s="13"/>
      <c r="Q8" s="13"/>
    </row>
    <row r="9" spans="1:20">
      <c r="A9" s="15"/>
      <c r="B9" s="15"/>
      <c r="C9" s="15"/>
      <c r="D9" s="71"/>
      <c r="E9" s="15"/>
      <c r="F9" s="15"/>
      <c r="G9" s="15"/>
      <c r="H9" s="15"/>
      <c r="I9" s="15"/>
      <c r="J9" s="15"/>
      <c r="K9" s="21"/>
      <c r="L9" s="15"/>
      <c r="M9" s="15"/>
      <c r="N9" s="15"/>
      <c r="O9" s="15"/>
      <c r="P9" s="15"/>
      <c r="Q9" s="13"/>
    </row>
    <row r="10" spans="1:20">
      <c r="A10" s="13"/>
      <c r="B10" s="13"/>
      <c r="C10" s="13"/>
      <c r="D10" s="70"/>
      <c r="E10" s="13"/>
      <c r="F10" s="13"/>
      <c r="G10" s="13"/>
      <c r="H10" s="13"/>
      <c r="I10" s="13"/>
      <c r="J10" s="13"/>
      <c r="K10" s="20"/>
      <c r="L10" s="13"/>
      <c r="M10" s="13"/>
      <c r="N10" s="13"/>
      <c r="O10" s="13"/>
      <c r="P10" s="13"/>
      <c r="Q10" s="13"/>
    </row>
    <row r="11" spans="1:20">
      <c r="A11" s="13">
        <v>2</v>
      </c>
      <c r="B11" s="13" t="s">
        <v>17</v>
      </c>
      <c r="C11" s="13" t="s">
        <v>55</v>
      </c>
      <c r="D11" s="70">
        <v>2</v>
      </c>
      <c r="E11" s="13" t="s">
        <v>20</v>
      </c>
      <c r="F11" s="13" t="s">
        <v>21</v>
      </c>
      <c r="G11" s="13">
        <v>1</v>
      </c>
      <c r="H11" s="13">
        <v>8850</v>
      </c>
      <c r="I11" s="13">
        <v>8850</v>
      </c>
      <c r="J11" s="13">
        <v>1150</v>
      </c>
      <c r="K11" s="20">
        <v>10000</v>
      </c>
      <c r="L11" s="13">
        <v>10000</v>
      </c>
      <c r="M11" s="13"/>
      <c r="N11" s="13"/>
      <c r="O11" s="16"/>
      <c r="P11" s="13"/>
      <c r="Q11" s="13"/>
    </row>
    <row r="12" spans="1:20">
      <c r="A12" s="15"/>
      <c r="B12" s="15"/>
      <c r="C12" s="15"/>
      <c r="D12" s="71"/>
      <c r="E12" s="15"/>
      <c r="F12" s="15"/>
      <c r="G12" s="15"/>
      <c r="H12" s="15"/>
      <c r="I12" s="15"/>
      <c r="J12" s="15"/>
      <c r="K12" s="21"/>
      <c r="L12" s="15"/>
      <c r="M12" s="15"/>
      <c r="N12" s="15"/>
      <c r="O12" s="15"/>
      <c r="P12" s="15"/>
      <c r="Q12" s="13"/>
    </row>
    <row r="13" spans="1:20">
      <c r="A13" s="13"/>
      <c r="B13" s="13"/>
      <c r="C13" s="13"/>
      <c r="D13" s="70"/>
      <c r="E13" s="13"/>
      <c r="F13" s="13"/>
      <c r="G13" s="13"/>
      <c r="H13" s="13"/>
      <c r="I13" s="13"/>
      <c r="J13" s="13"/>
      <c r="K13" s="20"/>
      <c r="L13" s="13"/>
      <c r="M13" s="13"/>
      <c r="N13" s="13"/>
      <c r="O13" s="13"/>
      <c r="P13" s="13"/>
      <c r="Q13" s="13"/>
    </row>
    <row r="14" spans="1:20">
      <c r="A14" s="13">
        <v>3</v>
      </c>
      <c r="B14" s="13" t="s">
        <v>31</v>
      </c>
      <c r="C14" s="13" t="s">
        <v>88</v>
      </c>
      <c r="D14" s="70">
        <v>3</v>
      </c>
      <c r="E14" s="13" t="s">
        <v>32</v>
      </c>
      <c r="F14" s="13" t="s">
        <v>33</v>
      </c>
      <c r="G14" s="13">
        <v>1</v>
      </c>
      <c r="H14" s="13">
        <v>6017.7</v>
      </c>
      <c r="I14" s="13">
        <f>H14*G14</f>
        <v>6017.7</v>
      </c>
      <c r="J14" s="13">
        <f>I14*13%</f>
        <v>782.30100000000004</v>
      </c>
      <c r="K14" s="20">
        <f>J14+I14</f>
        <v>6800.0010000000002</v>
      </c>
      <c r="L14" s="40">
        <f>K14+K15</f>
        <v>22799.987400000002</v>
      </c>
      <c r="M14" s="13"/>
      <c r="N14" s="13"/>
      <c r="O14" s="13"/>
      <c r="P14" s="13"/>
      <c r="Q14" s="13"/>
    </row>
    <row r="15" spans="1:20">
      <c r="A15" s="13"/>
      <c r="B15" s="13"/>
      <c r="C15" s="13"/>
      <c r="D15" s="70"/>
      <c r="E15" s="13"/>
      <c r="F15" s="13" t="s">
        <v>34</v>
      </c>
      <c r="G15" s="13">
        <v>4</v>
      </c>
      <c r="H15" s="13">
        <v>3539.82</v>
      </c>
      <c r="I15" s="13">
        <f>H15*G15</f>
        <v>14159.28</v>
      </c>
      <c r="J15" s="13">
        <f>I15*13%</f>
        <v>1840.7064000000003</v>
      </c>
      <c r="K15" s="20">
        <f>J15+I15</f>
        <v>15999.986400000002</v>
      </c>
      <c r="L15" s="41"/>
      <c r="M15" s="13"/>
      <c r="N15" s="16"/>
      <c r="O15" s="13"/>
      <c r="P15" s="27"/>
      <c r="Q15" s="13"/>
    </row>
    <row r="16" spans="1:20">
      <c r="A16" s="23"/>
      <c r="B16" s="23"/>
      <c r="C16" s="23"/>
      <c r="D16" s="72"/>
      <c r="E16" s="23"/>
      <c r="F16" s="23"/>
      <c r="G16" s="23"/>
      <c r="H16" s="23"/>
      <c r="I16" s="23"/>
      <c r="J16" s="23"/>
      <c r="K16" s="24"/>
      <c r="L16" s="23"/>
      <c r="M16" s="23"/>
      <c r="N16" s="23"/>
      <c r="O16" s="23"/>
      <c r="P16" s="23"/>
      <c r="Q16" s="23"/>
    </row>
    <row r="17" spans="1:17">
      <c r="A17" s="13"/>
      <c r="B17" s="13"/>
      <c r="C17" s="13"/>
      <c r="D17" s="70"/>
      <c r="E17" s="13"/>
      <c r="F17" s="13"/>
      <c r="G17" s="13"/>
      <c r="H17" s="13"/>
      <c r="I17" s="13"/>
      <c r="J17" s="13"/>
      <c r="K17" s="20"/>
      <c r="L17" s="13"/>
      <c r="M17" s="13"/>
      <c r="N17" s="13"/>
      <c r="O17" s="13"/>
      <c r="P17" s="13"/>
      <c r="Q17" s="13"/>
    </row>
    <row r="18" spans="1:17">
      <c r="A18" s="13">
        <v>4</v>
      </c>
      <c r="B18" s="13" t="s">
        <v>35</v>
      </c>
      <c r="C18" s="13" t="s">
        <v>89</v>
      </c>
      <c r="D18" s="70">
        <v>4</v>
      </c>
      <c r="E18" s="13" t="s">
        <v>36</v>
      </c>
      <c r="F18" s="13" t="s">
        <v>37</v>
      </c>
      <c r="G18" s="13">
        <v>1</v>
      </c>
      <c r="H18" s="13">
        <v>130000</v>
      </c>
      <c r="I18" s="13">
        <f>H18*G18</f>
        <v>130000</v>
      </c>
      <c r="J18" s="13">
        <f>I18*13%</f>
        <v>16900</v>
      </c>
      <c r="K18" s="20">
        <f>J18+I18</f>
        <v>146900</v>
      </c>
      <c r="L18" s="25">
        <f>K18+K19</f>
        <v>146900</v>
      </c>
      <c r="M18" s="13"/>
      <c r="N18" s="13"/>
      <c r="O18" s="13"/>
      <c r="P18" s="27"/>
      <c r="Q18" s="13"/>
    </row>
    <row r="19" spans="1:17">
      <c r="A19" s="23"/>
      <c r="B19" s="23"/>
      <c r="C19" s="23"/>
      <c r="D19" s="72"/>
      <c r="E19" s="23"/>
      <c r="F19" s="23"/>
      <c r="G19" s="23"/>
      <c r="H19" s="23"/>
      <c r="I19" s="23"/>
      <c r="J19" s="23"/>
      <c r="K19" s="24"/>
      <c r="L19" s="26"/>
      <c r="M19" s="23"/>
      <c r="N19" s="23"/>
      <c r="O19" s="23"/>
      <c r="P19" s="23"/>
      <c r="Q19" s="23"/>
    </row>
    <row r="20" spans="1:17">
      <c r="A20" s="13"/>
      <c r="B20" s="13"/>
      <c r="C20" s="13" t="s">
        <v>65</v>
      </c>
      <c r="D20" s="70"/>
      <c r="E20" s="13" t="s">
        <v>63</v>
      </c>
      <c r="F20" s="13" t="s">
        <v>64</v>
      </c>
      <c r="G20" s="13">
        <v>1</v>
      </c>
      <c r="H20" s="13">
        <v>45000</v>
      </c>
      <c r="I20" s="13">
        <f>H20*G20</f>
        <v>45000</v>
      </c>
      <c r="J20" s="13">
        <v>0</v>
      </c>
      <c r="K20" s="20">
        <v>0</v>
      </c>
      <c r="L20" s="35">
        <v>45000</v>
      </c>
      <c r="M20" s="13"/>
      <c r="N20" s="13"/>
      <c r="O20" s="13"/>
      <c r="P20" s="13"/>
      <c r="Q20" s="13"/>
    </row>
    <row r="21" spans="1:17">
      <c r="A21" s="13"/>
      <c r="B21" s="13"/>
      <c r="C21" s="13"/>
      <c r="D21" s="70"/>
      <c r="E21" s="13"/>
      <c r="F21" s="13"/>
      <c r="G21" s="13"/>
      <c r="H21" s="13"/>
      <c r="I21" s="13"/>
      <c r="J21" s="13"/>
      <c r="K21" s="20"/>
      <c r="L21" s="13"/>
      <c r="M21" s="13"/>
      <c r="N21" s="13"/>
      <c r="O21" s="13"/>
      <c r="P21" s="13"/>
      <c r="Q21" s="13"/>
    </row>
    <row r="22" spans="1:17">
      <c r="A22" s="13">
        <v>5</v>
      </c>
      <c r="B22" s="13" t="s">
        <v>38</v>
      </c>
      <c r="C22" s="13" t="s">
        <v>54</v>
      </c>
      <c r="D22" s="70">
        <v>5</v>
      </c>
      <c r="E22" s="13" t="s">
        <v>39</v>
      </c>
      <c r="F22" s="13" t="s">
        <v>40</v>
      </c>
      <c r="G22" s="13">
        <v>6</v>
      </c>
      <c r="H22" s="13">
        <v>1550</v>
      </c>
      <c r="I22" s="13">
        <f>H22*G22</f>
        <v>9300</v>
      </c>
      <c r="J22" s="13">
        <f>I22*13%</f>
        <v>1209</v>
      </c>
      <c r="K22" s="20">
        <f>J22+I22</f>
        <v>10509</v>
      </c>
      <c r="L22" s="25">
        <f>K22+K23</f>
        <v>10509</v>
      </c>
      <c r="M22" s="13"/>
      <c r="N22" s="13"/>
      <c r="O22" s="13"/>
      <c r="P22" s="13"/>
      <c r="Q22" s="13"/>
    </row>
    <row r="23" spans="1:17">
      <c r="A23" s="13"/>
      <c r="B23" s="13"/>
      <c r="C23" s="13"/>
      <c r="D23" s="70"/>
      <c r="E23" s="13"/>
      <c r="F23" s="13"/>
      <c r="G23" s="13"/>
      <c r="H23" s="13"/>
      <c r="I23" s="13"/>
      <c r="J23" s="13"/>
      <c r="K23" s="20">
        <f t="shared" ref="K23:K36" si="0">J23+I23</f>
        <v>0</v>
      </c>
      <c r="L23" s="13"/>
      <c r="M23" s="13"/>
      <c r="N23" s="13"/>
      <c r="O23" s="13"/>
      <c r="P23" s="27"/>
      <c r="Q23" s="27"/>
    </row>
    <row r="24" spans="1:17">
      <c r="A24" s="15"/>
      <c r="B24" s="15"/>
      <c r="C24" s="15"/>
      <c r="D24" s="71"/>
      <c r="E24" s="15"/>
      <c r="F24" s="15"/>
      <c r="G24" s="15"/>
      <c r="H24" s="15"/>
      <c r="I24" s="15"/>
      <c r="J24" s="28"/>
      <c r="K24" s="29">
        <f t="shared" si="0"/>
        <v>0</v>
      </c>
      <c r="L24" s="15"/>
      <c r="M24" s="15"/>
      <c r="N24" s="15"/>
      <c r="O24" s="15"/>
      <c r="P24" s="27"/>
      <c r="Q24" s="27"/>
    </row>
    <row r="25" spans="1:17">
      <c r="A25" s="13">
        <v>6</v>
      </c>
      <c r="B25" s="13" t="s">
        <v>41</v>
      </c>
      <c r="C25" s="13" t="s">
        <v>42</v>
      </c>
      <c r="D25" s="70">
        <v>7</v>
      </c>
      <c r="E25" s="13" t="s">
        <v>43</v>
      </c>
      <c r="F25" s="13" t="s">
        <v>44</v>
      </c>
      <c r="G25" s="13">
        <v>1</v>
      </c>
      <c r="H25" s="13">
        <v>18000</v>
      </c>
      <c r="I25" s="13">
        <f>H25*G25</f>
        <v>18000</v>
      </c>
      <c r="J25" s="13">
        <f t="shared" ref="J25:J36" si="1">I25*13%</f>
        <v>2340</v>
      </c>
      <c r="K25" s="20">
        <f t="shared" si="0"/>
        <v>20340</v>
      </c>
      <c r="L25" s="36">
        <f>K25+K26</f>
        <v>30510</v>
      </c>
      <c r="M25" s="13"/>
      <c r="N25" s="13"/>
      <c r="O25" s="13"/>
      <c r="P25" s="27"/>
      <c r="Q25" s="27"/>
    </row>
    <row r="26" spans="1:17">
      <c r="A26" s="13"/>
      <c r="B26" s="13"/>
      <c r="C26" s="13"/>
      <c r="D26" s="70"/>
      <c r="E26" s="13"/>
      <c r="F26" s="13" t="s">
        <v>45</v>
      </c>
      <c r="G26" s="13">
        <v>1</v>
      </c>
      <c r="H26" s="13">
        <v>9000</v>
      </c>
      <c r="I26" s="13">
        <f>H26*G26</f>
        <v>9000</v>
      </c>
      <c r="J26" s="13">
        <f t="shared" si="1"/>
        <v>1170</v>
      </c>
      <c r="K26" s="20">
        <f t="shared" si="0"/>
        <v>10170</v>
      </c>
      <c r="L26" s="37"/>
      <c r="M26" s="13"/>
      <c r="N26" s="13"/>
      <c r="O26" s="13"/>
      <c r="P26" s="27"/>
      <c r="Q26" s="27"/>
    </row>
    <row r="27" spans="1:17">
      <c r="A27" s="28"/>
      <c r="B27" s="28"/>
      <c r="C27" s="28"/>
      <c r="D27" s="73"/>
      <c r="E27" s="28"/>
      <c r="F27" s="28"/>
      <c r="G27" s="28"/>
      <c r="H27" s="28"/>
      <c r="I27" s="28"/>
      <c r="J27" s="28"/>
      <c r="K27" s="29"/>
      <c r="L27" s="28"/>
      <c r="M27" s="28"/>
      <c r="N27" s="28"/>
      <c r="O27" s="28"/>
      <c r="P27" s="27"/>
      <c r="Q27" s="27"/>
    </row>
    <row r="28" spans="1:17">
      <c r="A28" s="13"/>
      <c r="B28" s="13"/>
      <c r="C28" s="13"/>
      <c r="D28" s="70"/>
      <c r="E28" s="13"/>
      <c r="F28" s="13"/>
      <c r="G28" s="13"/>
      <c r="H28" s="13"/>
      <c r="I28" s="13"/>
      <c r="J28" s="13"/>
      <c r="K28" s="20"/>
      <c r="L28" s="13"/>
      <c r="M28" s="13"/>
      <c r="N28" s="13"/>
      <c r="O28" s="13"/>
      <c r="P28" s="27"/>
      <c r="Q28" s="27"/>
    </row>
    <row r="29" spans="1:17">
      <c r="A29" s="13">
        <v>7</v>
      </c>
      <c r="B29" s="13" t="s">
        <v>46</v>
      </c>
      <c r="C29" s="13" t="s">
        <v>47</v>
      </c>
      <c r="D29" s="74">
        <v>8</v>
      </c>
      <c r="E29" s="13" t="s">
        <v>39</v>
      </c>
      <c r="F29" s="13" t="s">
        <v>48</v>
      </c>
      <c r="G29" s="13">
        <v>4</v>
      </c>
      <c r="H29" s="13">
        <v>10975</v>
      </c>
      <c r="I29" s="13">
        <f t="shared" ref="I29:I36" si="2">H29*G29</f>
        <v>43900</v>
      </c>
      <c r="J29" s="13">
        <f t="shared" si="1"/>
        <v>5707</v>
      </c>
      <c r="K29" s="20">
        <f t="shared" si="0"/>
        <v>49607</v>
      </c>
      <c r="L29" s="20">
        <f>K29</f>
        <v>49607</v>
      </c>
      <c r="M29" s="13"/>
      <c r="N29" s="13"/>
      <c r="O29" s="13"/>
      <c r="P29" s="27"/>
      <c r="Q29" s="27"/>
    </row>
    <row r="30" spans="1:17">
      <c r="A30" s="28"/>
      <c r="B30" s="28"/>
      <c r="C30" s="28"/>
      <c r="D30" s="73"/>
      <c r="E30" s="28"/>
      <c r="F30" s="28"/>
      <c r="G30" s="28"/>
      <c r="H30" s="28"/>
      <c r="I30" s="28"/>
      <c r="J30" s="28"/>
      <c r="K30" s="29"/>
      <c r="L30" s="28"/>
      <c r="M30" s="28"/>
      <c r="N30" s="28"/>
      <c r="O30" s="28"/>
      <c r="P30" s="27"/>
      <c r="Q30" s="27"/>
    </row>
    <row r="31" spans="1:17">
      <c r="A31" s="13"/>
      <c r="B31" s="13"/>
      <c r="C31" s="13"/>
      <c r="D31" s="70"/>
      <c r="E31" s="13"/>
      <c r="F31" s="13"/>
      <c r="G31" s="13"/>
      <c r="H31" s="13"/>
      <c r="I31" s="13"/>
      <c r="J31" s="13"/>
      <c r="K31" s="20"/>
      <c r="L31" s="13"/>
      <c r="M31" s="13"/>
      <c r="N31" s="13"/>
      <c r="O31" s="13"/>
      <c r="P31" s="27"/>
      <c r="Q31" s="27"/>
    </row>
    <row r="32" spans="1:17">
      <c r="A32" s="13">
        <v>8</v>
      </c>
      <c r="B32" s="13" t="s">
        <v>49</v>
      </c>
      <c r="C32" s="13" t="s">
        <v>50</v>
      </c>
      <c r="D32" s="70">
        <v>10</v>
      </c>
      <c r="E32" s="13" t="s">
        <v>51</v>
      </c>
      <c r="F32" s="13" t="s">
        <v>52</v>
      </c>
      <c r="G32" s="13">
        <v>3</v>
      </c>
      <c r="H32" s="13">
        <v>1700</v>
      </c>
      <c r="I32" s="13">
        <f t="shared" si="2"/>
        <v>5100</v>
      </c>
      <c r="J32" s="13">
        <f t="shared" si="1"/>
        <v>663</v>
      </c>
      <c r="K32" s="20">
        <f t="shared" si="0"/>
        <v>5763</v>
      </c>
      <c r="L32" s="38">
        <f>K32+K33</f>
        <v>6695.25</v>
      </c>
      <c r="M32" s="13"/>
      <c r="N32" s="13"/>
      <c r="O32" s="13"/>
      <c r="P32" s="27"/>
      <c r="Q32" s="27"/>
    </row>
    <row r="33" spans="1:17">
      <c r="A33" s="13"/>
      <c r="B33" s="13"/>
      <c r="C33" s="13"/>
      <c r="D33" s="70"/>
      <c r="E33" s="13"/>
      <c r="F33" s="13" t="s">
        <v>53</v>
      </c>
      <c r="G33" s="13">
        <v>3</v>
      </c>
      <c r="H33" s="13">
        <v>275</v>
      </c>
      <c r="I33" s="13">
        <f t="shared" si="2"/>
        <v>825</v>
      </c>
      <c r="J33" s="13">
        <f t="shared" si="1"/>
        <v>107.25</v>
      </c>
      <c r="K33" s="20">
        <f t="shared" si="0"/>
        <v>932.25</v>
      </c>
      <c r="L33" s="39"/>
      <c r="M33" s="13"/>
      <c r="N33" s="13"/>
      <c r="O33" s="13"/>
      <c r="P33" s="27"/>
      <c r="Q33" s="27"/>
    </row>
    <row r="34" spans="1:17">
      <c r="A34" s="15"/>
      <c r="B34" s="15"/>
      <c r="C34" s="15"/>
      <c r="D34" s="71"/>
      <c r="E34" s="15"/>
      <c r="F34" s="15"/>
      <c r="G34" s="15"/>
      <c r="H34" s="15"/>
      <c r="I34" s="15">
        <f t="shared" si="2"/>
        <v>0</v>
      </c>
      <c r="J34" s="15">
        <f t="shared" si="1"/>
        <v>0</v>
      </c>
      <c r="K34" s="21">
        <f t="shared" si="0"/>
        <v>0</v>
      </c>
      <c r="L34" s="15"/>
      <c r="M34" s="15"/>
      <c r="N34" s="15"/>
      <c r="O34" s="15"/>
      <c r="P34" s="27"/>
      <c r="Q34" s="27"/>
    </row>
    <row r="35" spans="1:17">
      <c r="A35" s="13"/>
      <c r="B35" s="13"/>
      <c r="C35" s="13"/>
      <c r="D35" s="70"/>
      <c r="E35" s="13"/>
      <c r="F35" s="13"/>
      <c r="G35" s="13"/>
      <c r="H35" s="13"/>
      <c r="I35" s="13"/>
      <c r="J35" s="13"/>
      <c r="K35" s="20">
        <f t="shared" si="0"/>
        <v>0</v>
      </c>
      <c r="L35" s="13"/>
      <c r="M35" s="13"/>
      <c r="N35" s="13"/>
      <c r="O35" s="13"/>
      <c r="P35" s="13"/>
      <c r="Q35" s="13"/>
    </row>
    <row r="36" spans="1:17">
      <c r="A36" s="13"/>
      <c r="B36" s="13" t="s">
        <v>85</v>
      </c>
      <c r="C36" s="13" t="s">
        <v>86</v>
      </c>
      <c r="D36" s="70">
        <v>11</v>
      </c>
      <c r="E36" s="13" t="s">
        <v>36</v>
      </c>
      <c r="F36" s="13" t="s">
        <v>87</v>
      </c>
      <c r="G36" s="13">
        <v>1</v>
      </c>
      <c r="H36" s="13">
        <v>92500</v>
      </c>
      <c r="I36" s="13">
        <f t="shared" si="2"/>
        <v>92500</v>
      </c>
      <c r="J36" s="13">
        <f t="shared" si="1"/>
        <v>12025</v>
      </c>
      <c r="K36" s="20">
        <f t="shared" si="0"/>
        <v>104525</v>
      </c>
      <c r="L36" s="20">
        <f>K36</f>
        <v>104525</v>
      </c>
      <c r="M36" s="13"/>
      <c r="N36" s="13"/>
      <c r="O36" s="13"/>
      <c r="P36" s="13"/>
      <c r="Q36" s="13"/>
    </row>
    <row r="37" spans="1:17">
      <c r="A37" s="13"/>
      <c r="B37" s="13"/>
      <c r="C37" s="13"/>
      <c r="D37" s="70"/>
      <c r="E37" s="13"/>
      <c r="F37" s="13"/>
      <c r="G37" s="13"/>
      <c r="H37" s="13"/>
      <c r="I37" s="13"/>
      <c r="J37" s="13"/>
      <c r="K37" s="20"/>
      <c r="L37" s="13"/>
      <c r="M37" s="13"/>
      <c r="N37" s="13"/>
      <c r="O37" s="13"/>
    </row>
  </sheetData>
  <mergeCells count="10">
    <mergeCell ref="L25:L26"/>
    <mergeCell ref="L32:L33"/>
    <mergeCell ref="L14:L15"/>
    <mergeCell ref="A1:T3"/>
    <mergeCell ref="A5:A6"/>
    <mergeCell ref="B5:B6"/>
    <mergeCell ref="C5:C6"/>
    <mergeCell ref="E5:E6"/>
    <mergeCell ref="F5:F6"/>
    <mergeCell ref="M5:P5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3"/>
  <sheetViews>
    <sheetView topLeftCell="A4" workbookViewId="0">
      <selection activeCell="E7" sqref="E7"/>
    </sheetView>
  </sheetViews>
  <sheetFormatPr defaultRowHeight="15"/>
  <cols>
    <col min="1" max="1" width="4.5703125" customWidth="1"/>
    <col min="2" max="2" width="7.85546875" customWidth="1"/>
    <col min="4" max="4" width="28.28515625" customWidth="1"/>
    <col min="5" max="5" width="11.7109375" customWidth="1"/>
    <col min="6" max="6" width="9.140625" style="33"/>
    <col min="7" max="7" width="7.5703125" customWidth="1"/>
    <col min="10" max="10" width="6.7109375" customWidth="1"/>
  </cols>
  <sheetData>
    <row r="1" spans="1:16">
      <c r="A1" s="60" t="s">
        <v>24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  <c r="O1" s="13"/>
      <c r="P1" s="13"/>
    </row>
    <row r="2" spans="1:16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  <c r="O2" s="13"/>
      <c r="P2" s="13"/>
    </row>
    <row r="3" spans="1:16">
      <c r="A3" s="66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8"/>
      <c r="O3" s="13"/>
      <c r="P3" s="13"/>
    </row>
    <row r="4" spans="1:16">
      <c r="A4" s="13"/>
      <c r="B4" s="13"/>
      <c r="C4" s="13"/>
      <c r="D4" s="13"/>
      <c r="E4" s="13"/>
      <c r="F4" s="30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1:16">
      <c r="A5" s="13" t="s">
        <v>25</v>
      </c>
      <c r="B5" s="13" t="s">
        <v>26</v>
      </c>
      <c r="C5" s="13" t="s">
        <v>2</v>
      </c>
      <c r="D5" s="13" t="s">
        <v>27</v>
      </c>
      <c r="E5" s="13" t="s">
        <v>12</v>
      </c>
      <c r="F5" s="30" t="s">
        <v>29</v>
      </c>
      <c r="G5" s="13" t="s">
        <v>15</v>
      </c>
      <c r="H5" s="13" t="s">
        <v>14</v>
      </c>
      <c r="I5" s="13" t="s">
        <v>13</v>
      </c>
      <c r="J5" s="13" t="s">
        <v>60</v>
      </c>
      <c r="K5" s="13" t="s">
        <v>61</v>
      </c>
      <c r="L5" s="13"/>
      <c r="M5" s="13" t="s">
        <v>28</v>
      </c>
      <c r="N5" s="13"/>
      <c r="O5" s="13"/>
      <c r="P5" s="13"/>
    </row>
    <row r="6" spans="1:16">
      <c r="A6" s="13"/>
      <c r="B6" s="13"/>
      <c r="C6" s="13"/>
      <c r="D6" s="13"/>
      <c r="E6" s="13"/>
      <c r="F6" s="30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spans="1:16">
      <c r="A7" s="13"/>
      <c r="B7" s="13" t="s">
        <v>56</v>
      </c>
      <c r="C7" s="13" t="s">
        <v>57</v>
      </c>
      <c r="D7" s="13" t="s">
        <v>58</v>
      </c>
      <c r="E7" s="13">
        <v>19734</v>
      </c>
      <c r="F7" s="30" t="s">
        <v>62</v>
      </c>
      <c r="G7" s="31"/>
      <c r="H7" s="13"/>
      <c r="I7" s="13"/>
      <c r="J7" s="32"/>
      <c r="K7" s="13"/>
      <c r="L7" s="13"/>
      <c r="M7" s="13" t="s">
        <v>59</v>
      </c>
      <c r="N7" s="13"/>
      <c r="O7" s="13"/>
      <c r="P7" s="13"/>
    </row>
    <row r="8" spans="1:16">
      <c r="A8" s="13"/>
      <c r="B8" s="13"/>
      <c r="C8" s="13"/>
      <c r="D8" s="13"/>
      <c r="E8" s="13"/>
      <c r="F8" s="30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spans="1:16">
      <c r="A9" s="13"/>
      <c r="B9" s="13" t="s">
        <v>70</v>
      </c>
      <c r="C9" s="13" t="s">
        <v>69</v>
      </c>
      <c r="D9" s="13" t="s">
        <v>36</v>
      </c>
      <c r="E9" s="13">
        <v>140000</v>
      </c>
      <c r="F9" s="30"/>
      <c r="G9" s="32"/>
      <c r="H9" s="13"/>
      <c r="I9" s="13"/>
      <c r="J9" s="13"/>
      <c r="K9" s="32"/>
      <c r="L9" s="13"/>
      <c r="M9" s="13"/>
      <c r="N9" s="13"/>
      <c r="O9" s="13"/>
      <c r="P9" s="13"/>
    </row>
    <row r="10" spans="1:16">
      <c r="A10" s="13"/>
      <c r="B10" s="13"/>
      <c r="C10" s="13"/>
      <c r="D10" s="13"/>
      <c r="E10" s="13"/>
      <c r="F10" s="30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1:16">
      <c r="A11" s="13"/>
      <c r="B11" s="13" t="s">
        <v>73</v>
      </c>
      <c r="C11" s="13" t="s">
        <v>71</v>
      </c>
      <c r="D11" s="13" t="s">
        <v>72</v>
      </c>
      <c r="E11" s="13">
        <v>50000</v>
      </c>
      <c r="F11" s="30"/>
      <c r="G11" s="32"/>
      <c r="H11" s="13"/>
      <c r="I11" s="13"/>
      <c r="J11" s="13"/>
      <c r="K11" s="32"/>
      <c r="L11" s="13"/>
      <c r="M11" s="13"/>
      <c r="N11" s="13"/>
      <c r="O11" s="13"/>
      <c r="P11" s="13"/>
    </row>
    <row r="12" spans="1:16">
      <c r="A12" s="13"/>
      <c r="B12" s="13"/>
      <c r="C12" s="13"/>
      <c r="D12" s="13"/>
      <c r="E12" s="13"/>
      <c r="F12" s="30"/>
      <c r="G12" s="13"/>
      <c r="H12" s="13"/>
      <c r="I12" s="13"/>
      <c r="J12" s="13"/>
      <c r="K12" s="34"/>
      <c r="L12" s="13"/>
      <c r="M12" s="13"/>
      <c r="N12" s="13"/>
      <c r="O12" s="13"/>
      <c r="P12" s="13"/>
    </row>
    <row r="13" spans="1:16">
      <c r="A13" s="13"/>
      <c r="B13" s="13" t="s">
        <v>76</v>
      </c>
      <c r="C13" s="13" t="s">
        <v>74</v>
      </c>
      <c r="D13" s="13" t="s">
        <v>72</v>
      </c>
      <c r="E13" s="13">
        <v>100000</v>
      </c>
      <c r="F13" s="30"/>
      <c r="G13" s="32"/>
      <c r="H13" s="13"/>
      <c r="I13" s="13"/>
      <c r="J13" s="13"/>
      <c r="K13" s="32"/>
      <c r="L13" s="13"/>
      <c r="M13" s="13"/>
      <c r="N13" s="13"/>
      <c r="O13" s="13"/>
      <c r="P13" s="13"/>
    </row>
    <row r="14" spans="1:16">
      <c r="A14" s="13"/>
      <c r="B14" s="13"/>
      <c r="C14" s="13"/>
      <c r="D14" s="13"/>
      <c r="E14" s="13"/>
      <c r="F14" s="30"/>
      <c r="G14" s="13"/>
      <c r="H14" s="13"/>
      <c r="I14" s="34"/>
      <c r="J14" s="13"/>
      <c r="K14" s="34"/>
      <c r="L14" s="13"/>
      <c r="M14" s="13"/>
      <c r="N14" s="13"/>
      <c r="O14" s="13"/>
      <c r="P14" s="13"/>
    </row>
    <row r="15" spans="1:16">
      <c r="A15" s="13"/>
      <c r="B15" s="13" t="s">
        <v>77</v>
      </c>
      <c r="C15" s="13" t="s">
        <v>75</v>
      </c>
      <c r="D15" s="13" t="s">
        <v>72</v>
      </c>
      <c r="E15" s="13">
        <v>50000</v>
      </c>
      <c r="F15" s="30"/>
      <c r="G15" s="32"/>
      <c r="H15" s="13"/>
      <c r="I15" s="13"/>
      <c r="J15" s="13"/>
      <c r="K15" s="32"/>
      <c r="L15" s="13"/>
      <c r="M15" s="13"/>
      <c r="N15" s="13"/>
      <c r="O15" s="13"/>
      <c r="P15" s="13"/>
    </row>
    <row r="16" spans="1:16">
      <c r="A16" s="13"/>
      <c r="B16" s="13"/>
      <c r="C16" s="13"/>
      <c r="D16" s="13"/>
      <c r="E16" s="13"/>
      <c r="F16" s="30"/>
      <c r="G16" s="13"/>
      <c r="H16" s="13"/>
      <c r="I16" s="13"/>
      <c r="J16" s="13"/>
      <c r="K16" s="34"/>
      <c r="L16" s="13"/>
      <c r="M16" s="13"/>
      <c r="N16" s="13"/>
      <c r="O16" s="13"/>
      <c r="P16" s="13"/>
    </row>
    <row r="17" spans="1:16">
      <c r="A17" s="13"/>
      <c r="B17" s="13" t="s">
        <v>80</v>
      </c>
      <c r="C17" s="13" t="s">
        <v>78</v>
      </c>
      <c r="D17" s="13" t="s">
        <v>72</v>
      </c>
      <c r="E17" s="13">
        <v>190000</v>
      </c>
      <c r="F17" s="30"/>
      <c r="G17" s="32"/>
      <c r="H17" s="13"/>
      <c r="I17" s="13"/>
      <c r="J17" s="13"/>
      <c r="K17" s="32"/>
      <c r="L17" s="13"/>
      <c r="M17" s="13"/>
      <c r="N17" s="13"/>
      <c r="O17" s="13"/>
      <c r="P17" s="13"/>
    </row>
    <row r="18" spans="1:16">
      <c r="A18" s="13"/>
      <c r="B18" s="13"/>
      <c r="C18" s="13"/>
      <c r="D18" s="13"/>
      <c r="E18" s="13"/>
      <c r="F18" s="30"/>
      <c r="G18" s="13"/>
      <c r="H18" s="13"/>
      <c r="I18" s="13"/>
      <c r="J18" s="13"/>
      <c r="K18" s="34"/>
      <c r="L18" s="13"/>
      <c r="M18" s="13"/>
      <c r="N18" s="13"/>
      <c r="O18" s="13"/>
      <c r="P18" s="13"/>
    </row>
    <row r="19" spans="1:16">
      <c r="A19" s="13"/>
      <c r="B19" s="13" t="s">
        <v>81</v>
      </c>
      <c r="C19" s="13" t="s">
        <v>79</v>
      </c>
      <c r="D19" s="13" t="s">
        <v>36</v>
      </c>
      <c r="E19" s="13">
        <v>130000</v>
      </c>
      <c r="F19" s="30"/>
      <c r="G19" s="32"/>
      <c r="H19" s="13"/>
      <c r="I19" s="13"/>
      <c r="J19" s="13"/>
      <c r="K19" s="32"/>
      <c r="L19" s="13"/>
      <c r="M19" s="13"/>
      <c r="N19" s="13"/>
      <c r="O19" s="13"/>
      <c r="P19" s="13"/>
    </row>
    <row r="20" spans="1:16">
      <c r="A20" s="13"/>
      <c r="B20" s="13"/>
      <c r="C20" s="13"/>
      <c r="D20" s="13"/>
      <c r="E20" s="13"/>
      <c r="F20" s="30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1:16">
      <c r="A21" s="13"/>
      <c r="B21" s="13" t="s">
        <v>68</v>
      </c>
      <c r="C21" s="13" t="s">
        <v>47</v>
      </c>
      <c r="D21" s="13" t="s">
        <v>66</v>
      </c>
      <c r="E21" s="13">
        <v>60116</v>
      </c>
      <c r="F21" s="30" t="s">
        <v>67</v>
      </c>
      <c r="G21" s="32"/>
      <c r="H21" s="13"/>
      <c r="I21" s="13"/>
      <c r="J21" s="32"/>
      <c r="K21" s="13"/>
      <c r="L21" s="13"/>
      <c r="M21" s="13"/>
      <c r="N21" s="13"/>
      <c r="O21" s="13"/>
      <c r="P21" s="13"/>
    </row>
    <row r="22" spans="1:16">
      <c r="A22" s="13"/>
      <c r="B22" s="13"/>
      <c r="C22" s="13"/>
      <c r="D22" s="13"/>
      <c r="E22" s="13"/>
      <c r="F22" s="30"/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 spans="1:16">
      <c r="A23" s="13"/>
      <c r="B23" s="13" t="s">
        <v>49</v>
      </c>
      <c r="C23" s="13" t="s">
        <v>50</v>
      </c>
      <c r="D23" s="13" t="s">
        <v>82</v>
      </c>
      <c r="E23" s="13">
        <v>6695</v>
      </c>
      <c r="F23" s="30">
        <v>10</v>
      </c>
      <c r="G23" s="32"/>
      <c r="H23" s="13"/>
      <c r="I23" s="13"/>
      <c r="J23" s="32"/>
      <c r="K23" s="13"/>
      <c r="L23" s="13"/>
      <c r="M23" s="13"/>
      <c r="N23" s="13"/>
      <c r="O23" s="13"/>
      <c r="P23" s="13"/>
    </row>
    <row r="24" spans="1:16">
      <c r="A24" s="13"/>
      <c r="B24" s="13"/>
      <c r="C24" s="13"/>
      <c r="D24" s="13"/>
      <c r="E24" s="13"/>
      <c r="F24" s="30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1:16">
      <c r="A25" s="13"/>
      <c r="B25" s="13" t="s">
        <v>84</v>
      </c>
      <c r="C25" s="13" t="s">
        <v>83</v>
      </c>
      <c r="D25" s="13" t="s">
        <v>36</v>
      </c>
      <c r="E25" s="13">
        <v>150000</v>
      </c>
      <c r="F25" s="30"/>
      <c r="G25" s="32"/>
      <c r="H25" s="13"/>
      <c r="I25" s="13"/>
      <c r="J25" s="13"/>
      <c r="K25" s="32"/>
      <c r="L25" s="13"/>
      <c r="M25" s="13"/>
      <c r="N25" s="13"/>
      <c r="O25" s="13"/>
      <c r="P25" s="13"/>
    </row>
    <row r="26" spans="1:16">
      <c r="A26" s="13"/>
      <c r="B26" s="13"/>
      <c r="C26" s="13"/>
      <c r="D26" s="13"/>
      <c r="E26" s="13"/>
      <c r="F26" s="30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spans="1:16">
      <c r="A27" s="13"/>
      <c r="B27" s="13"/>
      <c r="C27" s="13"/>
      <c r="D27" s="13"/>
      <c r="E27" s="13"/>
      <c r="F27" s="30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1:16">
      <c r="A28" s="13"/>
      <c r="B28" s="13"/>
      <c r="C28" s="13"/>
      <c r="D28" s="13"/>
      <c r="E28" s="13"/>
      <c r="F28" s="30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16">
      <c r="A29" s="13"/>
      <c r="B29" s="13"/>
      <c r="C29" s="13"/>
      <c r="D29" s="13"/>
      <c r="E29" s="13"/>
      <c r="F29" s="30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>
      <c r="A30" s="13"/>
      <c r="B30" s="13"/>
      <c r="C30" s="13"/>
      <c r="D30" s="13"/>
      <c r="E30" s="13"/>
      <c r="F30" s="30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16">
      <c r="A31" s="13"/>
      <c r="B31" s="13"/>
      <c r="C31" s="13"/>
      <c r="D31" s="13"/>
      <c r="E31" s="13"/>
      <c r="F31" s="30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16">
      <c r="A32" s="13"/>
      <c r="B32" s="13"/>
      <c r="C32" s="13"/>
      <c r="D32" s="13"/>
      <c r="E32" s="13"/>
      <c r="F32" s="30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>
      <c r="A33" s="13"/>
      <c r="B33" s="13"/>
      <c r="C33" s="13"/>
      <c r="D33" s="13"/>
      <c r="E33" s="13"/>
      <c r="F33" s="30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>
      <c r="A34" s="13"/>
      <c r="B34" s="13"/>
      <c r="C34" s="13"/>
      <c r="D34" s="13"/>
      <c r="E34" s="13"/>
      <c r="F34" s="30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>
      <c r="A35" s="13"/>
      <c r="B35" s="13"/>
      <c r="C35" s="13"/>
      <c r="D35" s="13"/>
      <c r="E35" s="13"/>
      <c r="F35" s="30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>
      <c r="A36" s="13"/>
      <c r="B36" s="13"/>
      <c r="C36" s="13"/>
      <c r="D36" s="13"/>
      <c r="E36" s="13"/>
      <c r="F36" s="30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1:16">
      <c r="A37" s="13"/>
      <c r="B37" s="13"/>
      <c r="C37" s="13"/>
      <c r="D37" s="13"/>
      <c r="E37" s="13"/>
      <c r="F37" s="30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6">
      <c r="A38" s="13"/>
      <c r="B38" s="13"/>
      <c r="C38" s="13"/>
      <c r="D38" s="13"/>
      <c r="E38" s="13"/>
      <c r="F38" s="30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6">
      <c r="A39" s="13"/>
      <c r="B39" s="13"/>
      <c r="C39" s="13"/>
      <c r="D39" s="13"/>
      <c r="E39" s="13"/>
      <c r="F39" s="30"/>
      <c r="G39" s="13"/>
      <c r="H39" s="13"/>
      <c r="I39" s="13"/>
      <c r="J39" s="13"/>
      <c r="K39" s="13"/>
      <c r="L39" s="13"/>
      <c r="M39" s="13"/>
      <c r="N39" s="13"/>
      <c r="O39" s="13"/>
      <c r="P39" s="13"/>
    </row>
    <row r="40" spans="1:16">
      <c r="A40" s="13"/>
      <c r="B40" s="13"/>
      <c r="C40" s="13"/>
      <c r="D40" s="13"/>
      <c r="E40" s="13"/>
      <c r="F40" s="30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1:16">
      <c r="A41" s="13"/>
      <c r="B41" s="13"/>
      <c r="C41" s="13"/>
      <c r="D41" s="13"/>
      <c r="E41" s="13"/>
      <c r="F41" s="30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1:16">
      <c r="A42" s="13"/>
      <c r="B42" s="13"/>
      <c r="C42" s="13"/>
      <c r="D42" s="13"/>
      <c r="E42" s="13"/>
      <c r="F42" s="30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1:16">
      <c r="A43" s="13"/>
      <c r="B43" s="13"/>
      <c r="C43" s="13"/>
      <c r="D43" s="13"/>
      <c r="E43" s="13"/>
      <c r="F43" s="30"/>
      <c r="G43" s="13"/>
      <c r="H43" s="13"/>
      <c r="I43" s="13"/>
      <c r="J43" s="13"/>
      <c r="K43" s="13"/>
      <c r="L43" s="13"/>
      <c r="M43" s="13"/>
      <c r="N43" s="13"/>
      <c r="O43" s="13"/>
      <c r="P43" s="13"/>
    </row>
  </sheetData>
  <mergeCells count="1">
    <mergeCell ref="A1:N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</vt:lpstr>
      <vt:lpstr>PAYMENT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2024-01-10T08:33:35Z</dcterms:modified>
</cp:coreProperties>
</file>