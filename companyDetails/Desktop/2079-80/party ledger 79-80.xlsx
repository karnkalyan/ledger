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2" activeTab="6"/>
  </bookViews>
  <sheets>
    <sheet name="Sheet1" sheetId="1" r:id="rId1"/>
    <sheet name="1 AIR CARGO" sheetId="2" r:id="rId2"/>
    <sheet name="KUMAR DANGAL " sheetId="3" r:id="rId3"/>
    <sheet name="NEPAL BHANSAR " sheetId="4" r:id="rId4"/>
    <sheet name="NEPAL TRANSIT AND WARE HOUSE " sheetId="5" r:id="rId5"/>
    <sheet name="CUSTOM NEPAL" sheetId="6" r:id="rId6"/>
    <sheet name="Sheet2" sheetId="7" r:id="rId7"/>
  </sheets>
  <calcPr calcId="124519"/>
</workbook>
</file>

<file path=xl/calcChain.xml><?xml version="1.0" encoding="utf-8"?>
<calcChain xmlns="http://schemas.openxmlformats.org/spreadsheetml/2006/main">
  <c r="H23" i="7"/>
  <c r="H8" i="5"/>
  <c r="I7" i="4"/>
  <c r="I6"/>
  <c r="H7" i="5"/>
  <c r="H6"/>
  <c r="I7" i="3"/>
  <c r="I6"/>
  <c r="I10" i="2"/>
  <c r="I9" l="1"/>
  <c r="I9" i="1"/>
  <c r="I10" s="1"/>
  <c r="I11" s="1"/>
  <c r="I12" s="1"/>
  <c r="I8" i="2"/>
</calcChain>
</file>

<file path=xl/sharedStrings.xml><?xml version="1.0" encoding="utf-8"?>
<sst xmlns="http://schemas.openxmlformats.org/spreadsheetml/2006/main" count="178" uniqueCount="63">
  <si>
    <t>s.no</t>
  </si>
  <si>
    <t>DATE</t>
  </si>
  <si>
    <t xml:space="preserve">MITTI </t>
  </si>
  <si>
    <t>PARTICULAR</t>
  </si>
  <si>
    <t>INVOICE NO</t>
  </si>
  <si>
    <t>CHQ NO</t>
  </si>
  <si>
    <t xml:space="preserve">AMOUNT DR </t>
  </si>
  <si>
    <t xml:space="preserve">AMOUNT CR </t>
  </si>
  <si>
    <t xml:space="preserve">BALANCE </t>
  </si>
  <si>
    <t xml:space="preserve">REMARKS </t>
  </si>
  <si>
    <t>AIR CARGO CLEARING &amp;FORWARDING SERVICE PVT LTD</t>
  </si>
  <si>
    <t>25.02.2080</t>
  </si>
  <si>
    <t>08.06.2023</t>
  </si>
  <si>
    <t>PAYMENT</t>
  </si>
  <si>
    <t>IPS</t>
  </si>
  <si>
    <t xml:space="preserve">KUMAR DANGAL KD </t>
  </si>
  <si>
    <t>08.06.20223</t>
  </si>
  <si>
    <t>AGENT SERVICE CHARGES</t>
  </si>
  <si>
    <t>PAYMENT UNDER NAME OF CUSTOM PAY BY CURRENT A/C</t>
  </si>
  <si>
    <t>NEPAL BHANSAR AGENT SANGH</t>
  </si>
  <si>
    <t xml:space="preserve">NEPAL TRANSIT AND WARE HOUSE COMPANY LTD </t>
  </si>
  <si>
    <t>TIA92238-2079/80</t>
  </si>
  <si>
    <t>TIA92239-2079/80</t>
  </si>
  <si>
    <t xml:space="preserve">DEPARTMENT OF CUSTOMS,TIA </t>
  </si>
  <si>
    <t>TIA002023R41711</t>
  </si>
  <si>
    <t>TIA00 2023 R 41712</t>
  </si>
  <si>
    <t xml:space="preserve">CUSTOM PAYMENT </t>
  </si>
  <si>
    <t>PRAGYAPAN NO M 27647</t>
  </si>
  <si>
    <t>26.03.2080</t>
  </si>
  <si>
    <t>11.07.2023</t>
  </si>
  <si>
    <t>28.03.2080</t>
  </si>
  <si>
    <t>13.07.2023</t>
  </si>
  <si>
    <t>PURCHASE SERVICE</t>
  </si>
  <si>
    <t>AGENT SERVICE SANGH</t>
  </si>
  <si>
    <t xml:space="preserve">AGENT SERVICE SANGH </t>
  </si>
  <si>
    <t xml:space="preserve">GODOWN CHARGES </t>
  </si>
  <si>
    <t>TIA102080-2079/80</t>
  </si>
  <si>
    <t xml:space="preserve">CUSTOM DUTY </t>
  </si>
  <si>
    <t>TIA00 2023 R 51059</t>
  </si>
  <si>
    <t xml:space="preserve">PAYMENT </t>
  </si>
  <si>
    <t>PAYMENT IN THE NAME OF AIR CARGO</t>
  </si>
  <si>
    <t>PAYMENT in the name of AIR CARGO</t>
  </si>
  <si>
    <t>28.03.80</t>
  </si>
  <si>
    <t xml:space="preserve">PAYMENT in the name of AIR CARGO </t>
  </si>
  <si>
    <t>SIMULCAST TECHNOLOGY PVT LTD</t>
  </si>
  <si>
    <t>28.02.80</t>
  </si>
  <si>
    <t xml:space="preserve">sales bill </t>
  </si>
  <si>
    <t>05.03.80</t>
  </si>
  <si>
    <t>10.03.80</t>
  </si>
  <si>
    <t>22.03.80</t>
  </si>
  <si>
    <t>11.06.23</t>
  </si>
  <si>
    <t>12.06.23</t>
  </si>
  <si>
    <t>ADVANCE PAYMENT</t>
  </si>
  <si>
    <t>19.06.23</t>
  </si>
  <si>
    <t>advance return to kalyan given for capital arrangment</t>
  </si>
  <si>
    <t>LOAN RETURN</t>
  </si>
  <si>
    <t>GENUINEN BILL</t>
  </si>
  <si>
    <t>25.03.80</t>
  </si>
  <si>
    <t>10.07.23</t>
  </si>
  <si>
    <t>ADVANCE PAYMENT LOAN</t>
  </si>
  <si>
    <t>20.06.23</t>
  </si>
  <si>
    <t>25.06.23</t>
  </si>
  <si>
    <t>07.07.23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</si>
</sst>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" xfId="0" applyFont="1" applyBorder="1"/>
    <xf numFmtId="0" fontId="4" fillId="0" borderId="11" xfId="0" applyFont="1" applyBorder="1"/>
    <xf numFmtId="0" fontId="0" fillId="0" borderId="12" xfId="0" applyBorder="1"/>
    <xf numFmtId="0" fontId="0" fillId="0" borderId="4" xfId="0" applyBorder="1"/>
    <xf numFmtId="43" fontId="0" fillId="0" borderId="0" xfId="1" applyFont="1"/>
    <xf numFmtId="43" fontId="0" fillId="0" borderId="11" xfId="1" applyFont="1" applyBorder="1"/>
    <xf numFmtId="43" fontId="0" fillId="0" borderId="1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>
      <selection activeCell="H12" sqref="H12"/>
    </sheetView>
  </sheetViews>
  <sheetFormatPr defaultRowHeight="15"/>
  <cols>
    <col min="1" max="1" width="4.7109375" customWidth="1"/>
    <col min="2" max="3" width="10.140625" bestFit="1" customWidth="1"/>
    <col min="4" max="4" width="24" customWidth="1"/>
    <col min="5" max="5" width="11.7109375" bestFit="1" customWidth="1"/>
    <col min="6" max="6" width="9.7109375" customWidth="1"/>
    <col min="7" max="7" width="17.28515625" customWidth="1"/>
    <col min="8" max="9" width="18.5703125" customWidth="1"/>
    <col min="10" max="10" width="53.28515625" bestFit="1" customWidth="1"/>
  </cols>
  <sheetData>
    <row r="1" spans="1:13" ht="15.75" thickBot="1"/>
    <row r="2" spans="1:13">
      <c r="A2" s="17" t="s">
        <v>26</v>
      </c>
      <c r="B2" s="18"/>
      <c r="C2" s="18"/>
      <c r="D2" s="18"/>
      <c r="E2" s="18"/>
      <c r="F2" s="18"/>
      <c r="G2" s="18"/>
      <c r="H2" s="18"/>
      <c r="I2" s="19"/>
    </row>
    <row r="3" spans="1:13" ht="15.75" thickBot="1">
      <c r="A3" s="20"/>
      <c r="B3" s="21"/>
      <c r="C3" s="21"/>
      <c r="D3" s="21"/>
      <c r="E3" s="21"/>
      <c r="F3" s="21"/>
      <c r="G3" s="21"/>
      <c r="H3" s="21"/>
      <c r="I3" s="22"/>
    </row>
    <row r="4" spans="1:13" ht="15.75" thickBot="1"/>
    <row r="5" spans="1:13" ht="15.75" thickBot="1">
      <c r="A5" s="2" t="s">
        <v>0</v>
      </c>
      <c r="B5" s="3" t="s">
        <v>2</v>
      </c>
      <c r="C5" s="3" t="s">
        <v>1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/>
      <c r="L5" s="3"/>
      <c r="M5" s="4"/>
    </row>
    <row r="7" spans="1:13">
      <c r="A7" s="1">
        <v>1</v>
      </c>
      <c r="B7" s="1" t="s">
        <v>11</v>
      </c>
      <c r="C7" s="1" t="s">
        <v>12</v>
      </c>
      <c r="D7" s="1" t="s">
        <v>27</v>
      </c>
      <c r="E7" s="1"/>
      <c r="F7" s="1"/>
      <c r="G7" s="1"/>
      <c r="H7" s="1"/>
      <c r="I7" s="1"/>
      <c r="J7" s="1"/>
    </row>
    <row r="8" spans="1:13">
      <c r="A8" s="1">
        <v>2</v>
      </c>
      <c r="B8" s="1"/>
      <c r="C8" s="1"/>
      <c r="D8" s="1"/>
      <c r="E8" s="1"/>
      <c r="F8" s="1"/>
      <c r="G8" s="1">
        <v>4520</v>
      </c>
      <c r="H8" s="1"/>
      <c r="I8" s="1">
        <v>4520</v>
      </c>
      <c r="J8" s="1"/>
    </row>
    <row r="9" spans="1:13">
      <c r="A9" s="1">
        <v>3</v>
      </c>
      <c r="B9" s="1"/>
      <c r="C9" s="1"/>
      <c r="D9" s="1"/>
      <c r="E9" s="1"/>
      <c r="F9" s="1"/>
      <c r="G9" s="1">
        <v>565</v>
      </c>
      <c r="H9" s="1"/>
      <c r="I9" s="1">
        <f>I8+G9-H9</f>
        <v>5085</v>
      </c>
      <c r="J9" s="1"/>
    </row>
    <row r="10" spans="1:13">
      <c r="A10" s="1"/>
      <c r="B10" s="1"/>
      <c r="C10" s="1"/>
      <c r="D10" s="1"/>
      <c r="E10" s="1"/>
      <c r="F10" s="1"/>
      <c r="G10" s="1">
        <v>100</v>
      </c>
      <c r="H10" s="1"/>
      <c r="I10" s="1">
        <f t="shared" ref="I10:I12" si="0">I9+G10-H10</f>
        <v>5185</v>
      </c>
      <c r="J10" s="1"/>
    </row>
    <row r="11" spans="1:13">
      <c r="A11" s="1"/>
      <c r="B11" s="1"/>
      <c r="C11" s="1"/>
      <c r="D11" s="1"/>
      <c r="E11" s="1"/>
      <c r="F11" s="1"/>
      <c r="G11" s="1">
        <v>274</v>
      </c>
      <c r="H11" s="1"/>
      <c r="I11" s="1">
        <f t="shared" si="0"/>
        <v>5459</v>
      </c>
      <c r="J11" s="1"/>
    </row>
    <row r="12" spans="1:13" ht="15.75">
      <c r="A12" s="1"/>
      <c r="B12" s="1"/>
      <c r="C12" s="1"/>
      <c r="D12" s="1"/>
      <c r="E12" s="1"/>
      <c r="F12" s="1"/>
      <c r="G12" s="1">
        <v>57025</v>
      </c>
      <c r="H12" s="1">
        <v>57025</v>
      </c>
      <c r="I12" s="6">
        <f t="shared" si="0"/>
        <v>5459</v>
      </c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1">
    <mergeCell ref="A2:I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>
      <selection activeCell="E7" sqref="E7"/>
    </sheetView>
  </sheetViews>
  <sheetFormatPr defaultRowHeight="15"/>
  <cols>
    <col min="1" max="1" width="4.7109375" customWidth="1"/>
    <col min="2" max="3" width="10.140625" bestFit="1" customWidth="1"/>
    <col min="4" max="4" width="24" customWidth="1"/>
    <col min="5" max="5" width="11.7109375" bestFit="1" customWidth="1"/>
    <col min="6" max="6" width="9.7109375" customWidth="1"/>
    <col min="7" max="7" width="17.28515625" customWidth="1"/>
    <col min="8" max="9" width="18.5703125" customWidth="1"/>
    <col min="10" max="10" width="53.28515625" bestFit="1" customWidth="1"/>
  </cols>
  <sheetData>
    <row r="1" spans="1:13" ht="15.75" thickBot="1"/>
    <row r="2" spans="1:13">
      <c r="A2" s="17" t="s">
        <v>10</v>
      </c>
      <c r="B2" s="18"/>
      <c r="C2" s="18"/>
      <c r="D2" s="18"/>
      <c r="E2" s="18"/>
      <c r="F2" s="18"/>
      <c r="G2" s="18"/>
      <c r="H2" s="18"/>
      <c r="I2" s="19"/>
    </row>
    <row r="3" spans="1:13" ht="15.75" thickBot="1">
      <c r="A3" s="20"/>
      <c r="B3" s="21"/>
      <c r="C3" s="21"/>
      <c r="D3" s="21"/>
      <c r="E3" s="21"/>
      <c r="F3" s="21"/>
      <c r="G3" s="21"/>
      <c r="H3" s="21"/>
      <c r="I3" s="22"/>
    </row>
    <row r="4" spans="1:13" ht="15.75" thickBot="1"/>
    <row r="5" spans="1:13" ht="15.75" thickBot="1">
      <c r="A5" s="2" t="s">
        <v>0</v>
      </c>
      <c r="B5" s="3" t="s">
        <v>2</v>
      </c>
      <c r="C5" s="3" t="s">
        <v>1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/>
      <c r="L5" s="3"/>
      <c r="M5" s="4"/>
    </row>
    <row r="7" spans="1:13">
      <c r="A7" s="1">
        <v>1</v>
      </c>
      <c r="B7" s="1" t="s">
        <v>11</v>
      </c>
      <c r="C7" s="1" t="s">
        <v>12</v>
      </c>
      <c r="D7" s="1" t="s">
        <v>32</v>
      </c>
      <c r="E7" s="1">
        <v>1710</v>
      </c>
      <c r="F7" s="1"/>
      <c r="G7" s="1">
        <v>4520</v>
      </c>
      <c r="H7" s="1"/>
      <c r="I7" s="1">
        <v>4520</v>
      </c>
      <c r="J7" s="1"/>
    </row>
    <row r="8" spans="1:13">
      <c r="A8" s="1">
        <v>2</v>
      </c>
      <c r="B8" s="1" t="s">
        <v>11</v>
      </c>
      <c r="C8" s="1" t="s">
        <v>12</v>
      </c>
      <c r="D8" s="1" t="s">
        <v>32</v>
      </c>
      <c r="E8" s="1">
        <v>1711</v>
      </c>
      <c r="F8" s="1"/>
      <c r="G8" s="1">
        <v>4520</v>
      </c>
      <c r="H8" s="1"/>
      <c r="I8" s="1">
        <f>I7+G8-H8</f>
        <v>9040</v>
      </c>
      <c r="J8" s="1"/>
    </row>
    <row r="9" spans="1:13">
      <c r="A9" s="1">
        <v>3</v>
      </c>
      <c r="B9" s="1" t="s">
        <v>28</v>
      </c>
      <c r="C9" s="1" t="s">
        <v>29</v>
      </c>
      <c r="D9" s="1" t="s">
        <v>32</v>
      </c>
      <c r="E9" s="1">
        <v>1883</v>
      </c>
      <c r="F9" s="1"/>
      <c r="G9" s="1">
        <v>5650</v>
      </c>
      <c r="H9" s="1"/>
      <c r="I9" s="1">
        <f>I8+G9-H9</f>
        <v>14690</v>
      </c>
      <c r="J9" s="1"/>
    </row>
    <row r="10" spans="1:13">
      <c r="A10" s="1">
        <v>4</v>
      </c>
      <c r="B10" s="1" t="s">
        <v>30</v>
      </c>
      <c r="C10" s="1" t="s">
        <v>31</v>
      </c>
      <c r="D10" s="1" t="s">
        <v>13</v>
      </c>
      <c r="E10" s="1"/>
      <c r="F10" s="1" t="s">
        <v>14</v>
      </c>
      <c r="G10" s="1"/>
      <c r="H10" s="1">
        <v>14690</v>
      </c>
      <c r="I10" s="1">
        <f>I9+G10-H10</f>
        <v>0</v>
      </c>
      <c r="J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1">
    <mergeCell ref="A2:I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selection activeCell="A4" sqref="A4:J4"/>
    </sheetView>
  </sheetViews>
  <sheetFormatPr defaultRowHeight="15"/>
  <cols>
    <col min="1" max="1" width="2.140625" customWidth="1"/>
    <col min="2" max="2" width="10.140625" bestFit="1" customWidth="1"/>
    <col min="3" max="3" width="11.140625" bestFit="1" customWidth="1"/>
    <col min="4" max="4" width="23.5703125" bestFit="1" customWidth="1"/>
    <col min="10" max="10" width="53" bestFit="1" customWidth="1"/>
  </cols>
  <sheetData>
    <row r="1" spans="1:10">
      <c r="A1" s="17" t="s">
        <v>15</v>
      </c>
      <c r="B1" s="18"/>
      <c r="C1" s="18"/>
      <c r="D1" s="18"/>
      <c r="E1" s="18"/>
      <c r="F1" s="18"/>
      <c r="G1" s="18"/>
      <c r="H1" s="18"/>
      <c r="I1" s="19"/>
    </row>
    <row r="2" spans="1:10" ht="15.75" thickBot="1">
      <c r="A2" s="20"/>
      <c r="B2" s="21"/>
      <c r="C2" s="21"/>
      <c r="D2" s="21"/>
      <c r="E2" s="21"/>
      <c r="F2" s="21"/>
      <c r="G2" s="21"/>
      <c r="H2" s="21"/>
      <c r="I2" s="22"/>
    </row>
    <row r="3" spans="1:10" ht="15.75" thickBot="1"/>
    <row r="4" spans="1:10" ht="15.75" thickBot="1">
      <c r="A4" s="2" t="s">
        <v>0</v>
      </c>
      <c r="B4" s="5" t="s">
        <v>2</v>
      </c>
      <c r="C4" s="5" t="s">
        <v>1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</row>
    <row r="5" spans="1:10">
      <c r="B5" s="1" t="s">
        <v>11</v>
      </c>
      <c r="C5" s="1" t="s">
        <v>16</v>
      </c>
      <c r="D5" s="1" t="s">
        <v>17</v>
      </c>
      <c r="E5" s="1">
        <v>308</v>
      </c>
      <c r="F5" s="1"/>
      <c r="G5" s="1">
        <v>565</v>
      </c>
      <c r="H5" s="1"/>
      <c r="I5" s="1">
        <v>565</v>
      </c>
      <c r="J5" s="1"/>
    </row>
    <row r="6" spans="1:10">
      <c r="B6" s="1" t="s">
        <v>11</v>
      </c>
      <c r="C6" s="1" t="s">
        <v>16</v>
      </c>
      <c r="D6" s="1" t="s">
        <v>17</v>
      </c>
      <c r="E6" s="1">
        <v>309</v>
      </c>
      <c r="F6" s="1"/>
      <c r="G6" s="1">
        <v>565</v>
      </c>
      <c r="H6" s="1"/>
      <c r="I6" s="1">
        <f>I5+G6-H6</f>
        <v>1130</v>
      </c>
      <c r="J6" s="1"/>
    </row>
    <row r="7" spans="1:10">
      <c r="B7" s="1" t="s">
        <v>28</v>
      </c>
      <c r="C7" s="1" t="s">
        <v>29</v>
      </c>
      <c r="D7" s="1" t="s">
        <v>17</v>
      </c>
      <c r="E7" s="1">
        <v>374</v>
      </c>
      <c r="F7" s="1"/>
      <c r="G7" s="1">
        <v>565</v>
      </c>
      <c r="H7" s="1"/>
      <c r="I7" s="1">
        <f>I6+G7-H7</f>
        <v>1695</v>
      </c>
      <c r="J7" s="1"/>
    </row>
    <row r="8" spans="1:10">
      <c r="B8" s="1" t="s">
        <v>30</v>
      </c>
      <c r="C8" s="1" t="s">
        <v>31</v>
      </c>
      <c r="D8" s="1" t="s">
        <v>39</v>
      </c>
      <c r="E8" s="1"/>
      <c r="F8" s="1" t="s">
        <v>14</v>
      </c>
      <c r="G8" s="1"/>
      <c r="H8" s="1">
        <v>1695</v>
      </c>
      <c r="I8" s="1"/>
      <c r="J8" s="1" t="s">
        <v>40</v>
      </c>
    </row>
  </sheetData>
  <mergeCells count="1">
    <mergeCell ref="A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selection activeCell="A4" sqref="A4"/>
    </sheetView>
  </sheetViews>
  <sheetFormatPr defaultRowHeight="15"/>
  <cols>
    <col min="1" max="1" width="3.42578125" customWidth="1"/>
    <col min="2" max="2" width="10.140625" bestFit="1" customWidth="1"/>
    <col min="3" max="3" width="11.140625" bestFit="1" customWidth="1"/>
    <col min="4" max="4" width="23.5703125" bestFit="1" customWidth="1"/>
    <col min="10" max="10" width="53" bestFit="1" customWidth="1"/>
  </cols>
  <sheetData>
    <row r="1" spans="1:10">
      <c r="A1" s="17" t="s">
        <v>19</v>
      </c>
      <c r="B1" s="18"/>
      <c r="C1" s="18"/>
      <c r="D1" s="18"/>
      <c r="E1" s="18"/>
      <c r="F1" s="18"/>
      <c r="G1" s="18"/>
      <c r="H1" s="18"/>
      <c r="I1" s="19"/>
    </row>
    <row r="2" spans="1:10" ht="15.75" thickBot="1">
      <c r="A2" s="20"/>
      <c r="B2" s="21"/>
      <c r="C2" s="21"/>
      <c r="D2" s="21"/>
      <c r="E2" s="21"/>
      <c r="F2" s="21"/>
      <c r="G2" s="21"/>
      <c r="H2" s="21"/>
      <c r="I2" s="22"/>
    </row>
    <row r="3" spans="1:10" ht="15.75" thickBot="1"/>
    <row r="4" spans="1:10" ht="15.75" thickBot="1">
      <c r="A4" s="2" t="s">
        <v>0</v>
      </c>
      <c r="B4" s="5" t="s">
        <v>2</v>
      </c>
      <c r="C4" s="5" t="s">
        <v>1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</row>
    <row r="5" spans="1:10">
      <c r="B5" s="1" t="s">
        <v>11</v>
      </c>
      <c r="C5" s="1" t="s">
        <v>16</v>
      </c>
      <c r="D5" s="1" t="s">
        <v>33</v>
      </c>
      <c r="E5" s="1">
        <v>22640</v>
      </c>
      <c r="F5" s="1"/>
      <c r="G5" s="1">
        <v>100</v>
      </c>
      <c r="H5" s="1"/>
      <c r="I5" s="1">
        <v>100</v>
      </c>
      <c r="J5" s="1"/>
    </row>
    <row r="6" spans="1:10">
      <c r="B6" s="1" t="s">
        <v>11</v>
      </c>
      <c r="C6" s="1" t="s">
        <v>16</v>
      </c>
      <c r="D6" s="1" t="s">
        <v>34</v>
      </c>
      <c r="E6" s="1">
        <v>22639</v>
      </c>
      <c r="F6" s="1"/>
      <c r="G6" s="1">
        <v>100</v>
      </c>
      <c r="H6" s="1"/>
      <c r="I6" s="1">
        <f>I5+G6-H6</f>
        <v>200</v>
      </c>
      <c r="J6" s="1"/>
    </row>
    <row r="7" spans="1:10">
      <c r="B7" s="1" t="s">
        <v>28</v>
      </c>
      <c r="C7" s="1" t="s">
        <v>29</v>
      </c>
      <c r="D7" s="1" t="s">
        <v>33</v>
      </c>
      <c r="E7" s="1">
        <v>25348</v>
      </c>
      <c r="F7" s="1"/>
      <c r="G7" s="1">
        <v>100</v>
      </c>
      <c r="H7" s="1"/>
      <c r="I7" s="1">
        <f>I6+G7-H7</f>
        <v>300</v>
      </c>
      <c r="J7" s="1"/>
    </row>
    <row r="8" spans="1:10">
      <c r="B8" s="1" t="s">
        <v>30</v>
      </c>
      <c r="C8" s="1" t="s">
        <v>31</v>
      </c>
      <c r="D8" s="1" t="s">
        <v>13</v>
      </c>
      <c r="E8" s="1"/>
      <c r="F8" s="1" t="s">
        <v>14</v>
      </c>
      <c r="G8" s="1"/>
      <c r="H8" s="1">
        <v>300</v>
      </c>
      <c r="I8" s="1"/>
      <c r="J8" s="1" t="s">
        <v>41</v>
      </c>
    </row>
  </sheetData>
  <mergeCells count="1">
    <mergeCell ref="A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selection activeCell="J3" sqref="J3"/>
    </sheetView>
  </sheetViews>
  <sheetFormatPr defaultRowHeight="15"/>
  <cols>
    <col min="1" max="1" width="10.140625" bestFit="1" customWidth="1"/>
    <col min="2" max="2" width="11.140625" bestFit="1" customWidth="1"/>
    <col min="3" max="3" width="23.5703125" bestFit="1" customWidth="1"/>
    <col min="4" max="4" width="17.7109375" bestFit="1" customWidth="1"/>
    <col min="9" max="9" width="34.28515625" bestFit="1" customWidth="1"/>
  </cols>
  <sheetData>
    <row r="1" spans="1:9">
      <c r="A1" s="18" t="s">
        <v>20</v>
      </c>
      <c r="B1" s="18"/>
      <c r="C1" s="18"/>
      <c r="D1" s="18"/>
      <c r="E1" s="18"/>
      <c r="F1" s="18"/>
      <c r="G1" s="18"/>
      <c r="H1" s="19"/>
    </row>
    <row r="2" spans="1:9" ht="15.75" thickBot="1">
      <c r="A2" s="21"/>
      <c r="B2" s="21"/>
      <c r="C2" s="21"/>
      <c r="D2" s="21"/>
      <c r="E2" s="21"/>
      <c r="F2" s="21"/>
      <c r="G2" s="21"/>
      <c r="H2" s="22"/>
    </row>
    <row r="3" spans="1:9" ht="15.75" thickBot="1"/>
    <row r="4" spans="1:9">
      <c r="A4" s="5" t="s">
        <v>2</v>
      </c>
      <c r="B4" s="5" t="s">
        <v>1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>
      <c r="A5" s="1" t="s">
        <v>11</v>
      </c>
      <c r="B5" s="1" t="s">
        <v>16</v>
      </c>
      <c r="C5" s="1" t="s">
        <v>35</v>
      </c>
      <c r="D5" s="1" t="s">
        <v>21</v>
      </c>
      <c r="E5" s="1"/>
      <c r="F5" s="1">
        <v>274</v>
      </c>
      <c r="G5" s="1"/>
      <c r="H5" s="1">
        <v>274</v>
      </c>
      <c r="I5" s="1"/>
    </row>
    <row r="6" spans="1:9">
      <c r="A6" s="1" t="s">
        <v>11</v>
      </c>
      <c r="B6" s="1" t="s">
        <v>16</v>
      </c>
      <c r="C6" s="1" t="s">
        <v>35</v>
      </c>
      <c r="D6" s="1" t="s">
        <v>22</v>
      </c>
      <c r="E6" s="1"/>
      <c r="F6" s="1">
        <v>274</v>
      </c>
      <c r="G6" s="1"/>
      <c r="H6" s="1">
        <f>H5+F6-G6</f>
        <v>548</v>
      </c>
      <c r="I6" s="1"/>
    </row>
    <row r="7" spans="1:9">
      <c r="A7" s="1" t="s">
        <v>28</v>
      </c>
      <c r="B7" s="1" t="s">
        <v>29</v>
      </c>
      <c r="C7" s="1" t="s">
        <v>35</v>
      </c>
      <c r="D7" s="1" t="s">
        <v>36</v>
      </c>
      <c r="E7" s="1"/>
      <c r="F7" s="1">
        <v>274</v>
      </c>
      <c r="G7" s="1"/>
      <c r="H7" s="1">
        <f>H6+F7-G7</f>
        <v>822</v>
      </c>
      <c r="I7" s="1"/>
    </row>
    <row r="8" spans="1:9">
      <c r="A8" s="1" t="s">
        <v>42</v>
      </c>
      <c r="B8" s="1" t="s">
        <v>31</v>
      </c>
      <c r="C8" s="1" t="s">
        <v>13</v>
      </c>
      <c r="D8" s="1"/>
      <c r="E8" s="1" t="s">
        <v>14</v>
      </c>
      <c r="F8" s="1"/>
      <c r="G8" s="1">
        <v>822</v>
      </c>
      <c r="H8" s="1">
        <f>H7+F8-G8</f>
        <v>0</v>
      </c>
      <c r="I8" s="1" t="s">
        <v>43</v>
      </c>
    </row>
  </sheetData>
  <mergeCells count="1">
    <mergeCell ref="A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B9" sqref="B9"/>
    </sheetView>
  </sheetViews>
  <sheetFormatPr defaultRowHeight="15"/>
  <cols>
    <col min="1" max="1" width="10.140625" bestFit="1" customWidth="1"/>
    <col min="2" max="2" width="11.140625" bestFit="1" customWidth="1"/>
    <col min="3" max="3" width="23.5703125" bestFit="1" customWidth="1"/>
    <col min="4" max="4" width="17.7109375" bestFit="1" customWidth="1"/>
    <col min="9" max="9" width="53" bestFit="1" customWidth="1"/>
  </cols>
  <sheetData>
    <row r="1" spans="1:9">
      <c r="A1" s="18" t="s">
        <v>23</v>
      </c>
      <c r="B1" s="18"/>
      <c r="C1" s="18"/>
      <c r="D1" s="18"/>
      <c r="E1" s="18"/>
      <c r="F1" s="18"/>
      <c r="G1" s="18"/>
      <c r="H1" s="19"/>
    </row>
    <row r="2" spans="1:9" ht="15.75" thickBot="1">
      <c r="A2" s="21"/>
      <c r="B2" s="21"/>
      <c r="C2" s="21"/>
      <c r="D2" s="21"/>
      <c r="E2" s="21"/>
      <c r="F2" s="21"/>
      <c r="G2" s="21"/>
      <c r="H2" s="22"/>
    </row>
    <row r="3" spans="1:9" ht="15.75" thickBot="1"/>
    <row r="4" spans="1:9">
      <c r="A4" s="5" t="s">
        <v>2</v>
      </c>
      <c r="B4" s="5" t="s">
        <v>1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>
      <c r="A5" s="1" t="s">
        <v>11</v>
      </c>
      <c r="B5" s="1" t="s">
        <v>16</v>
      </c>
      <c r="C5" s="1" t="s">
        <v>17</v>
      </c>
      <c r="D5" s="1" t="s">
        <v>24</v>
      </c>
      <c r="E5" s="1"/>
      <c r="F5" s="1">
        <v>57025</v>
      </c>
      <c r="G5" s="1"/>
      <c r="H5" s="1"/>
      <c r="I5" s="1"/>
    </row>
    <row r="6" spans="1:9">
      <c r="A6" s="1" t="s">
        <v>11</v>
      </c>
      <c r="B6" s="1" t="s">
        <v>16</v>
      </c>
      <c r="C6" s="1" t="s">
        <v>17</v>
      </c>
      <c r="D6" s="1" t="s">
        <v>25</v>
      </c>
      <c r="E6" s="1"/>
      <c r="F6" s="1">
        <v>34902</v>
      </c>
      <c r="G6" s="1"/>
      <c r="H6" s="1"/>
      <c r="I6" s="1"/>
    </row>
    <row r="7" spans="1:9">
      <c r="A7" s="1" t="s">
        <v>11</v>
      </c>
      <c r="B7" s="1" t="s">
        <v>12</v>
      </c>
      <c r="C7" s="1" t="s">
        <v>13</v>
      </c>
      <c r="D7" s="1"/>
      <c r="E7" s="1" t="s">
        <v>14</v>
      </c>
      <c r="F7" s="1"/>
      <c r="G7" s="1">
        <v>57030</v>
      </c>
      <c r="H7" s="1"/>
      <c r="I7" s="1" t="s">
        <v>18</v>
      </c>
    </row>
    <row r="8" spans="1:9">
      <c r="A8" s="1"/>
      <c r="B8" s="1"/>
      <c r="C8" s="1" t="s">
        <v>13</v>
      </c>
      <c r="D8" s="1"/>
      <c r="E8" s="1" t="s">
        <v>14</v>
      </c>
      <c r="F8" s="1"/>
      <c r="G8" s="1">
        <v>34902</v>
      </c>
      <c r="H8" s="1"/>
      <c r="I8" s="1" t="s">
        <v>18</v>
      </c>
    </row>
    <row r="9" spans="1:9">
      <c r="A9" s="1" t="s">
        <v>28</v>
      </c>
      <c r="B9" s="1" t="s">
        <v>29</v>
      </c>
      <c r="C9" s="1" t="s">
        <v>37</v>
      </c>
      <c r="D9" s="1" t="s">
        <v>38</v>
      </c>
      <c r="E9" s="1"/>
      <c r="F9" s="1">
        <v>125925</v>
      </c>
      <c r="G9" s="1"/>
      <c r="H9" s="1">
        <v>125925</v>
      </c>
      <c r="I9" s="1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>
      <c r="A14" s="1"/>
      <c r="B14" s="1"/>
      <c r="C14" s="1"/>
      <c r="D14" s="1"/>
      <c r="E14" s="1"/>
      <c r="F14" s="1"/>
      <c r="G14" s="1"/>
      <c r="H14" s="1"/>
      <c r="I14" s="1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</sheetData>
  <mergeCells count="1">
    <mergeCell ref="A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selection activeCell="H13" sqref="H13"/>
    </sheetView>
  </sheetViews>
  <sheetFormatPr defaultRowHeight="15"/>
  <cols>
    <col min="1" max="1" width="3" customWidth="1"/>
    <col min="2" max="2" width="8.7109375" customWidth="1"/>
    <col min="4" max="4" width="32.140625" customWidth="1"/>
    <col min="5" max="5" width="11.7109375" bestFit="1" customWidth="1"/>
    <col min="7" max="7" width="12.85546875" style="10" customWidth="1"/>
    <col min="8" max="8" width="15.28515625" style="10" customWidth="1"/>
    <col min="9" max="9" width="11.5703125" style="10" bestFit="1" customWidth="1"/>
    <col min="10" max="10" width="32.42578125" customWidth="1"/>
  </cols>
  <sheetData>
    <row r="1" spans="1:11" ht="15.75" thickBot="1"/>
    <row r="2" spans="1:11">
      <c r="A2" s="23" t="s">
        <v>44</v>
      </c>
      <c r="B2" s="24"/>
      <c r="C2" s="24"/>
      <c r="D2" s="24"/>
      <c r="E2" s="24"/>
      <c r="F2" s="24"/>
      <c r="G2" s="24"/>
      <c r="H2" s="24"/>
      <c r="I2" s="24"/>
      <c r="J2" s="24"/>
      <c r="K2" s="25"/>
    </row>
    <row r="3" spans="1:11" ht="15.75" thickBot="1">
      <c r="A3" s="26"/>
      <c r="B3" s="27"/>
      <c r="C3" s="27"/>
      <c r="D3" s="27"/>
      <c r="E3" s="27"/>
      <c r="F3" s="27"/>
      <c r="G3" s="27"/>
      <c r="H3" s="27"/>
      <c r="I3" s="27"/>
      <c r="J3" s="27"/>
      <c r="K3" s="28"/>
    </row>
    <row r="4" spans="1:11" ht="15.75" thickBot="1"/>
    <row r="5" spans="1:11">
      <c r="A5" s="8" t="s">
        <v>0</v>
      </c>
      <c r="B5" s="5" t="s">
        <v>2</v>
      </c>
      <c r="C5" s="5" t="s">
        <v>1</v>
      </c>
      <c r="D5" s="5" t="s">
        <v>3</v>
      </c>
      <c r="E5" s="7" t="s">
        <v>4</v>
      </c>
      <c r="F5" s="5" t="s">
        <v>5</v>
      </c>
      <c r="G5" s="11" t="s">
        <v>6</v>
      </c>
      <c r="H5" s="11" t="s">
        <v>7</v>
      </c>
      <c r="I5" s="11" t="s">
        <v>8</v>
      </c>
      <c r="J5" s="5" t="s">
        <v>9</v>
      </c>
      <c r="K5" s="9"/>
    </row>
    <row r="6" spans="1:11">
      <c r="A6" s="1"/>
      <c r="B6" s="1"/>
      <c r="C6" s="1"/>
      <c r="D6" s="1"/>
      <c r="E6" s="1"/>
      <c r="F6" s="1"/>
      <c r="G6" s="12"/>
      <c r="H6" s="12"/>
      <c r="I6" s="12"/>
      <c r="J6" s="1"/>
      <c r="K6" s="1"/>
    </row>
    <row r="7" spans="1:11">
      <c r="A7" s="1"/>
      <c r="B7" s="1" t="s">
        <v>45</v>
      </c>
      <c r="C7" s="1" t="s">
        <v>50</v>
      </c>
      <c r="D7" s="1" t="s">
        <v>46</v>
      </c>
      <c r="E7" s="1">
        <v>1</v>
      </c>
      <c r="F7" s="1"/>
      <c r="G7" s="12"/>
      <c r="H7" s="12">
        <v>490939.8</v>
      </c>
      <c r="I7" s="12"/>
      <c r="J7" s="1" t="s">
        <v>56</v>
      </c>
      <c r="K7" s="1"/>
    </row>
    <row r="8" spans="1:11">
      <c r="A8" s="1"/>
      <c r="B8" s="1" t="s">
        <v>47</v>
      </c>
      <c r="C8" s="1" t="s">
        <v>60</v>
      </c>
      <c r="D8" s="1" t="s">
        <v>46</v>
      </c>
      <c r="E8" s="1">
        <v>2</v>
      </c>
      <c r="F8" s="1"/>
      <c r="G8" s="12"/>
      <c r="H8" s="12">
        <v>1314208.22</v>
      </c>
      <c r="I8" s="12"/>
      <c r="J8" s="1"/>
      <c r="K8" s="1"/>
    </row>
    <row r="9" spans="1:11">
      <c r="A9" s="1"/>
      <c r="B9" s="1" t="s">
        <v>48</v>
      </c>
      <c r="C9" s="1" t="s">
        <v>61</v>
      </c>
      <c r="D9" s="1" t="s">
        <v>46</v>
      </c>
      <c r="E9" s="1">
        <v>3</v>
      </c>
      <c r="F9" s="1"/>
      <c r="G9" s="12"/>
      <c r="H9" s="12">
        <v>2041586.82</v>
      </c>
      <c r="I9" s="12"/>
      <c r="J9" s="1"/>
      <c r="K9" s="1"/>
    </row>
    <row r="10" spans="1:11">
      <c r="A10" s="1"/>
      <c r="B10" s="1" t="s">
        <v>49</v>
      </c>
      <c r="C10" s="1" t="s">
        <v>62</v>
      </c>
      <c r="D10" s="1" t="s">
        <v>46</v>
      </c>
      <c r="E10" s="1">
        <v>4</v>
      </c>
      <c r="F10" s="1"/>
      <c r="G10" s="12"/>
      <c r="H10" s="12">
        <v>2269443.5299999998</v>
      </c>
      <c r="I10" s="12"/>
      <c r="J10" s="1"/>
      <c r="K10" s="1"/>
    </row>
    <row r="11" spans="1:11">
      <c r="A11" s="1"/>
      <c r="B11" s="1"/>
      <c r="C11" s="13" t="s">
        <v>51</v>
      </c>
      <c r="D11" s="13" t="s">
        <v>52</v>
      </c>
      <c r="E11" s="1"/>
      <c r="F11" s="14">
        <v>53454581</v>
      </c>
      <c r="G11" s="15"/>
      <c r="H11" s="15">
        <v>200000</v>
      </c>
      <c r="I11" s="15"/>
      <c r="J11" s="1" t="s">
        <v>55</v>
      </c>
      <c r="K11" s="1"/>
    </row>
    <row r="12" spans="1:11" ht="30">
      <c r="A12" s="1"/>
      <c r="B12" s="1"/>
      <c r="C12" s="13" t="s">
        <v>53</v>
      </c>
      <c r="D12" s="16" t="s">
        <v>54</v>
      </c>
      <c r="E12" s="1"/>
      <c r="F12" s="1"/>
      <c r="G12" s="15"/>
      <c r="H12" s="15">
        <v>150000</v>
      </c>
      <c r="I12" s="15"/>
      <c r="J12" s="1" t="s">
        <v>55</v>
      </c>
      <c r="K12" s="1"/>
    </row>
    <row r="13" spans="1:11">
      <c r="A13" s="1"/>
      <c r="B13" s="1" t="s">
        <v>57</v>
      </c>
      <c r="C13" s="13" t="s">
        <v>58</v>
      </c>
      <c r="D13" s="1" t="s">
        <v>59</v>
      </c>
      <c r="E13" s="1"/>
      <c r="F13" s="1"/>
      <c r="G13" s="15"/>
      <c r="H13" s="15">
        <v>1500000</v>
      </c>
      <c r="I13" s="15"/>
      <c r="J13" s="1"/>
      <c r="K13" s="1"/>
    </row>
    <row r="14" spans="1:11">
      <c r="A14" s="1"/>
      <c r="B14" s="1"/>
      <c r="C14" s="1"/>
      <c r="D14" s="1"/>
      <c r="E14" s="1"/>
      <c r="F14" s="1"/>
      <c r="G14" s="12"/>
      <c r="H14" s="12"/>
      <c r="I14" s="12"/>
      <c r="J14" s="1"/>
      <c r="K14" s="1"/>
    </row>
    <row r="15" spans="1:11">
      <c r="A15" s="1"/>
      <c r="B15" s="1"/>
      <c r="C15" s="1"/>
      <c r="D15" s="1"/>
      <c r="E15" s="1"/>
      <c r="F15" s="1"/>
      <c r="G15" s="12"/>
      <c r="H15" s="12"/>
      <c r="I15" s="12"/>
      <c r="J15" s="1"/>
      <c r="K15" s="1"/>
    </row>
    <row r="16" spans="1:11">
      <c r="A16" s="1"/>
      <c r="B16" s="1"/>
      <c r="C16" s="1"/>
      <c r="D16" s="1"/>
      <c r="E16" s="1"/>
      <c r="F16" s="1"/>
      <c r="G16" s="12"/>
      <c r="H16" s="12"/>
      <c r="I16" s="12"/>
      <c r="J16" s="1"/>
      <c r="K16" s="1"/>
    </row>
    <row r="17" spans="1:11">
      <c r="A17" s="1"/>
      <c r="B17" s="1"/>
      <c r="C17" s="1"/>
      <c r="D17" s="1"/>
      <c r="E17" s="1"/>
      <c r="F17" s="1"/>
      <c r="G17" s="12"/>
      <c r="H17" s="12"/>
      <c r="I17" s="12"/>
      <c r="J17" s="1"/>
      <c r="K17" s="1"/>
    </row>
    <row r="18" spans="1:11">
      <c r="A18" s="1"/>
      <c r="B18" s="1"/>
      <c r="C18" s="1"/>
      <c r="D18" s="1"/>
      <c r="E18" s="1"/>
      <c r="F18" s="1"/>
      <c r="G18" s="12"/>
      <c r="H18" s="12"/>
      <c r="I18" s="12"/>
      <c r="J18" s="1"/>
      <c r="K18" s="1"/>
    </row>
    <row r="19" spans="1:11">
      <c r="A19" s="1"/>
      <c r="B19" s="1"/>
      <c r="C19" s="1"/>
      <c r="D19" s="1"/>
      <c r="E19" s="1"/>
      <c r="F19" s="1"/>
      <c r="G19" s="12"/>
      <c r="H19" s="12"/>
      <c r="I19" s="12"/>
      <c r="J19" s="1"/>
      <c r="K19" s="1"/>
    </row>
    <row r="20" spans="1:11">
      <c r="A20" s="1"/>
      <c r="B20" s="1"/>
      <c r="C20" s="1"/>
      <c r="D20" s="1"/>
      <c r="E20" s="1"/>
      <c r="F20" s="1"/>
      <c r="G20" s="12"/>
      <c r="H20" s="12"/>
      <c r="I20" s="12"/>
      <c r="J20" s="1"/>
      <c r="K20" s="1"/>
    </row>
    <row r="21" spans="1:11">
      <c r="A21" s="1"/>
      <c r="B21" s="1"/>
      <c r="C21" s="1"/>
      <c r="D21" s="1"/>
      <c r="E21" s="1"/>
      <c r="F21" s="1"/>
      <c r="G21" s="12"/>
      <c r="H21" s="12"/>
      <c r="I21" s="12"/>
      <c r="J21" s="1"/>
      <c r="K21" s="1"/>
    </row>
    <row r="22" spans="1:11">
      <c r="A22" s="1"/>
      <c r="B22" s="1"/>
      <c r="C22" s="1"/>
      <c r="D22" s="1"/>
      <c r="E22" s="1"/>
      <c r="F22" s="1"/>
      <c r="G22" s="12"/>
      <c r="H22" s="12"/>
      <c r="I22" s="12"/>
      <c r="J22" s="1"/>
      <c r="K22" s="1"/>
    </row>
    <row r="23" spans="1:11">
      <c r="A23" s="1"/>
      <c r="B23" s="1"/>
      <c r="C23" s="1"/>
      <c r="D23" s="1"/>
      <c r="E23" s="1"/>
      <c r="F23" s="1"/>
      <c r="G23" s="12"/>
      <c r="H23" s="12">
        <f>SUM(H7:H22)</f>
        <v>7966178.3699999992</v>
      </c>
      <c r="I23" s="12"/>
      <c r="J23" s="1"/>
      <c r="K23" s="1"/>
    </row>
  </sheetData>
  <mergeCells count="1">
    <mergeCell ref="A2:K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1 AIR CARGO</vt:lpstr>
      <vt:lpstr>KUMAR DANGAL </vt:lpstr>
      <vt:lpstr>NEPAL BHANSAR </vt:lpstr>
      <vt:lpstr>NEPAL TRANSIT AND WARE HOUSE </vt:lpstr>
      <vt:lpstr>CUSTOM NEPAL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2023-10-04T09:13:28Z</dcterms:modified>
</cp:coreProperties>
</file>