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 activeTab="1"/>
  </bookViews>
  <sheets>
    <sheet name="PURCHASE " sheetId="1" r:id="rId1"/>
    <sheet name="IMPORT " sheetId="2" r:id="rId2"/>
    <sheet name="Sheet3" sheetId="3" r:id="rId3"/>
  </sheets>
  <calcPr calcId="124519"/>
</workbook>
</file>

<file path=xl/calcChain.xml><?xml version="1.0" encoding="utf-8"?>
<calcChain xmlns="http://schemas.openxmlformats.org/spreadsheetml/2006/main">
  <c r="T10" i="2"/>
  <c r="T11"/>
  <c r="I30" i="1"/>
  <c r="J30" s="1"/>
  <c r="K30" s="1"/>
  <c r="J29"/>
  <c r="K29" s="1"/>
  <c r="I29"/>
  <c r="I28"/>
  <c r="J28" s="1"/>
  <c r="K28" s="1"/>
  <c r="J27"/>
  <c r="K27" s="1"/>
  <c r="I27"/>
  <c r="I26"/>
  <c r="J26" s="1"/>
  <c r="K26" s="1"/>
  <c r="J25"/>
  <c r="K25" s="1"/>
  <c r="I25"/>
  <c r="I24"/>
  <c r="J24" s="1"/>
  <c r="K24" s="1"/>
  <c r="J23"/>
  <c r="K23" s="1"/>
  <c r="I23"/>
  <c r="I20"/>
  <c r="J20" s="1"/>
  <c r="K20" s="1"/>
  <c r="J19"/>
  <c r="K19" s="1"/>
  <c r="I19"/>
  <c r="I18"/>
  <c r="J18" s="1"/>
  <c r="K18" s="1"/>
  <c r="J17"/>
  <c r="K17" s="1"/>
  <c r="I17"/>
  <c r="I16"/>
  <c r="J16" s="1"/>
  <c r="K16" s="1"/>
  <c r="J15"/>
  <c r="K15" s="1"/>
  <c r="I15"/>
  <c r="I14"/>
  <c r="J14" s="1"/>
  <c r="K14" s="1"/>
  <c r="J13"/>
  <c r="K13" s="1"/>
  <c r="I13"/>
  <c r="I12"/>
  <c r="J12" s="1"/>
  <c r="K12" s="1"/>
  <c r="J11"/>
  <c r="K11" s="1"/>
  <c r="I11"/>
  <c r="I10"/>
  <c r="J10" s="1"/>
  <c r="K10" s="1"/>
  <c r="J9"/>
  <c r="K9" s="1"/>
  <c r="I9"/>
  <c r="V11" i="2"/>
  <c r="V9"/>
  <c r="T14"/>
  <c r="S14"/>
  <c r="V14"/>
  <c r="Q14"/>
  <c r="O14"/>
  <c r="K14"/>
  <c r="I14"/>
  <c r="O11"/>
  <c r="O9"/>
  <c r="T9" s="1"/>
  <c r="K11"/>
  <c r="I11"/>
  <c r="K9"/>
  <c r="I9"/>
  <c r="J31" i="1" l="1"/>
  <c r="U14" i="2"/>
  <c r="J10"/>
  <c r="J11"/>
  <c r="J13"/>
  <c r="J14"/>
  <c r="J15"/>
  <c r="J17"/>
  <c r="J18"/>
  <c r="J19"/>
  <c r="J20"/>
  <c r="J21"/>
  <c r="J9"/>
  <c r="J22"/>
  <c r="J23"/>
  <c r="J24"/>
  <c r="J25"/>
  <c r="J26"/>
  <c r="L9" l="1"/>
  <c r="U9" s="1"/>
  <c r="U11"/>
</calcChain>
</file>

<file path=xl/sharedStrings.xml><?xml version="1.0" encoding="utf-8"?>
<sst xmlns="http://schemas.openxmlformats.org/spreadsheetml/2006/main" count="81" uniqueCount="76">
  <si>
    <t xml:space="preserve">S no </t>
  </si>
  <si>
    <t xml:space="preserve">Nep date </t>
  </si>
  <si>
    <t xml:space="preserve">Eng date </t>
  </si>
  <si>
    <t>QTY</t>
  </si>
  <si>
    <t>RATE</t>
  </si>
  <si>
    <t>TOTAL</t>
  </si>
  <si>
    <t xml:space="preserve">VAT 13% </t>
  </si>
  <si>
    <t>COST</t>
  </si>
  <si>
    <t xml:space="preserve">VENDOR NAME </t>
  </si>
  <si>
    <t xml:space="preserve">PRODUCT  NAME </t>
  </si>
  <si>
    <t>2080.01.31</t>
  </si>
  <si>
    <t xml:space="preserve">NAV SOLUTIONS PVT LTD </t>
  </si>
  <si>
    <t>SSD CARD</t>
  </si>
  <si>
    <t>SSD 256</t>
  </si>
  <si>
    <t>SSD 128</t>
  </si>
  <si>
    <t>ZKP 0408</t>
  </si>
  <si>
    <t>MONITOR 18.5"</t>
  </si>
  <si>
    <t>MONITOR 19"</t>
  </si>
  <si>
    <t>ROUTER BL WUSH LB-LINK</t>
  </si>
  <si>
    <t>PRIZMA INDUCTION DESKTOP</t>
  </si>
  <si>
    <t>NITRO 5 15/16/512/3060</t>
  </si>
  <si>
    <t>DELL 3511 i3 4/1TB</t>
  </si>
  <si>
    <t>HP VICTUS 16 17/16/512/3060</t>
  </si>
  <si>
    <t>HP VICTUS 16 15/3/512/1650</t>
  </si>
  <si>
    <t xml:space="preserve">AMOUNT </t>
  </si>
  <si>
    <t xml:space="preserve">S NO </t>
  </si>
  <si>
    <t xml:space="preserve">PRODUCT NAME </t>
  </si>
  <si>
    <t xml:space="preserve">RATE </t>
  </si>
  <si>
    <t>IMPORT DUTY</t>
  </si>
  <si>
    <t xml:space="preserve">CUSTOM </t>
  </si>
  <si>
    <t xml:space="preserve">SERVICE </t>
  </si>
  <si>
    <t xml:space="preserve">  FREIGHT </t>
  </si>
  <si>
    <t>EXPENSES</t>
  </si>
  <si>
    <t xml:space="preserve">BANK </t>
  </si>
  <si>
    <t xml:space="preserve">CHARGES </t>
  </si>
  <si>
    <t>08.06.23</t>
  </si>
  <si>
    <t>CONTROLLER KT-KD50X</t>
  </si>
  <si>
    <t>per piece</t>
  </si>
  <si>
    <t>IMPORT 79-80</t>
  </si>
  <si>
    <t>DATE</t>
  </si>
  <si>
    <t xml:space="preserve">MITTI </t>
  </si>
  <si>
    <t>HDMI BONDING VIDEO CONVERTER</t>
  </si>
  <si>
    <t xml:space="preserve">COST  </t>
  </si>
  <si>
    <t>2080.02.21</t>
  </si>
  <si>
    <t xml:space="preserve">ISU KHUSI CONSULTANT PVT LTD </t>
  </si>
  <si>
    <t>PROPERTY VALUATION</t>
  </si>
  <si>
    <t xml:space="preserve">VALUE </t>
  </si>
  <si>
    <t xml:space="preserve">LANDING </t>
  </si>
  <si>
    <t>CLEARING</t>
  </si>
  <si>
    <t xml:space="preserve">SHENZHEN JINJIU TIANSH INDUSTRY CO., LTD </t>
  </si>
  <si>
    <t>KILOVIEW ELECTRONICS CO., LTD</t>
  </si>
  <si>
    <t>rate in $</t>
  </si>
  <si>
    <t xml:space="preserve">freight and </t>
  </si>
  <si>
    <t>insurance</t>
  </si>
  <si>
    <t xml:space="preserve">pp value </t>
  </si>
  <si>
    <t>DHL</t>
  </si>
  <si>
    <t>11.07.23</t>
  </si>
  <si>
    <t xml:space="preserve">HANGZHOU XINGXI TECH. CO LTD </t>
  </si>
  <si>
    <t xml:space="preserve">YOLO BOX PRO EM </t>
  </si>
  <si>
    <t xml:space="preserve">EXCISE DUTY </t>
  </si>
  <si>
    <t>25.02.80</t>
  </si>
  <si>
    <t>26.03.80</t>
  </si>
  <si>
    <t>LOCAL PURCHASE 79-80</t>
  </si>
  <si>
    <t>VAT COLLECTED</t>
  </si>
  <si>
    <t>12.03.80</t>
  </si>
  <si>
    <t xml:space="preserve">NAV SOLUTION PVT LTD </t>
  </si>
  <si>
    <t>NO</t>
  </si>
  <si>
    <t xml:space="preserve">INVOICE </t>
  </si>
  <si>
    <t>Networkig goods LSA-KUV90</t>
  </si>
  <si>
    <t>Networkig goods IDCI20 W Board</t>
  </si>
  <si>
    <t>Networking goods ODCI BOARD</t>
  </si>
  <si>
    <t>Networking goods PLL/PLL</t>
  </si>
  <si>
    <t>Networking goods PLDB 20 W/PLDB 20W</t>
  </si>
  <si>
    <t>1 TB 7200 Turn 64 m hard drive</t>
  </si>
  <si>
    <t xml:space="preserve">PD5AO HDV portable stick </t>
  </si>
  <si>
    <t>set top box</t>
  </si>
</sst>
</file>

<file path=xl/styles.xml><?xml version="1.0" encoding="utf-8"?>
<styleSheet xmlns="http://schemas.openxmlformats.org/spreadsheetml/2006/main">
  <numFmts count="1">
    <numFmt numFmtId="43" formatCode="_(* #,##0.00_);_(* \(#,##0.00\);_(* &quot;-&quot;??_);_(@_)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8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9"/>
      <color theme="1"/>
      <name val="Calibri"/>
      <family val="2"/>
    </font>
    <font>
      <b/>
      <sz val="24"/>
      <color theme="1"/>
      <name val="Calibri"/>
      <family val="2"/>
      <scheme val="minor"/>
    </font>
    <font>
      <b/>
      <sz val="10"/>
      <color theme="1"/>
      <name val="Calibri"/>
      <family val="2"/>
    </font>
    <font>
      <b/>
      <sz val="10"/>
      <color theme="1"/>
      <name val="Calibri"/>
      <family val="2"/>
      <scheme val="minor"/>
    </font>
    <font>
      <b/>
      <sz val="8"/>
      <color theme="1"/>
      <name val="Calibri"/>
      <family val="2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34998626667073579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67">
    <xf numFmtId="0" fontId="0" fillId="0" borderId="0" xfId="0"/>
    <xf numFmtId="0" fontId="2" fillId="0" borderId="2" xfId="0" applyFont="1" applyBorder="1"/>
    <xf numFmtId="0" fontId="2" fillId="0" borderId="3" xfId="0" applyFont="1" applyBorder="1"/>
    <xf numFmtId="0" fontId="0" fillId="0" borderId="4" xfId="0" applyBorder="1"/>
    <xf numFmtId="0" fontId="0" fillId="0" borderId="5" xfId="0" applyBorder="1"/>
    <xf numFmtId="0" fontId="2" fillId="0" borderId="6" xfId="0" applyFont="1" applyBorder="1"/>
    <xf numFmtId="0" fontId="2" fillId="0" borderId="7" xfId="0" applyFont="1" applyBorder="1"/>
    <xf numFmtId="43" fontId="0" fillId="0" borderId="0" xfId="1" applyFont="1"/>
    <xf numFmtId="43" fontId="2" fillId="0" borderId="7" xfId="1" applyFont="1" applyBorder="1"/>
    <xf numFmtId="43" fontId="0" fillId="0" borderId="4" xfId="1" applyFont="1" applyBorder="1"/>
    <xf numFmtId="43" fontId="2" fillId="0" borderId="12" xfId="1" applyFont="1" applyBorder="1"/>
    <xf numFmtId="0" fontId="0" fillId="0" borderId="0" xfId="0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4" xfId="0" applyFill="1" applyBorder="1"/>
    <xf numFmtId="0" fontId="0" fillId="2" borderId="4" xfId="0" applyFill="1" applyBorder="1" applyAlignment="1">
      <alignment horizontal="center" vertical="center"/>
    </xf>
    <xf numFmtId="43" fontId="0" fillId="2" borderId="4" xfId="1" applyFont="1" applyFill="1" applyBorder="1"/>
    <xf numFmtId="0" fontId="0" fillId="3" borderId="4" xfId="0" applyFill="1" applyBorder="1"/>
    <xf numFmtId="0" fontId="0" fillId="3" borderId="4" xfId="0" applyFill="1" applyBorder="1" applyAlignment="1">
      <alignment horizontal="center" vertical="center"/>
    </xf>
    <xf numFmtId="43" fontId="0" fillId="3" borderId="4" xfId="1" applyFont="1" applyFill="1" applyBorder="1"/>
    <xf numFmtId="43" fontId="0" fillId="0" borderId="4" xfId="1" applyFont="1" applyBorder="1" applyAlignment="1">
      <alignment horizontal="right"/>
    </xf>
    <xf numFmtId="43" fontId="0" fillId="0" borderId="0" xfId="1" applyFont="1" applyAlignment="1">
      <alignment horizontal="center" vertical="center"/>
    </xf>
    <xf numFmtId="43" fontId="0" fillId="0" borderId="4" xfId="1" applyFont="1" applyBorder="1" applyAlignment="1">
      <alignment horizontal="center" vertical="center"/>
    </xf>
    <xf numFmtId="0" fontId="0" fillId="5" borderId="4" xfId="0" applyFill="1" applyBorder="1"/>
    <xf numFmtId="0" fontId="0" fillId="0" borderId="9" xfId="0" applyBorder="1"/>
    <xf numFmtId="43" fontId="0" fillId="5" borderId="4" xfId="1" applyFont="1" applyFill="1" applyBorder="1" applyAlignment="1">
      <alignment horizontal="right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3" borderId="5" xfId="0" applyFill="1" applyBorder="1"/>
    <xf numFmtId="0" fontId="0" fillId="5" borderId="4" xfId="0" applyFill="1" applyBorder="1" applyAlignment="1">
      <alignment horizontal="center" vertical="center"/>
    </xf>
    <xf numFmtId="0" fontId="0" fillId="3" borderId="9" xfId="0" applyFill="1" applyBorder="1"/>
    <xf numFmtId="0" fontId="0" fillId="5" borderId="21" xfId="0" applyFill="1" applyBorder="1"/>
    <xf numFmtId="0" fontId="0" fillId="3" borderId="8" xfId="0" applyFill="1" applyBorder="1"/>
    <xf numFmtId="43" fontId="4" fillId="6" borderId="14" xfId="1" applyFont="1" applyFill="1" applyBorder="1" applyAlignment="1">
      <alignment horizontal="center" vertical="center"/>
    </xf>
    <xf numFmtId="43" fontId="4" fillId="6" borderId="10" xfId="1" applyFont="1" applyFill="1" applyBorder="1" applyAlignment="1">
      <alignment horizontal="center" vertical="center"/>
    </xf>
    <xf numFmtId="43" fontId="4" fillId="6" borderId="11" xfId="1" applyFont="1" applyFill="1" applyBorder="1" applyAlignment="1">
      <alignment horizontal="center" vertical="center"/>
    </xf>
    <xf numFmtId="0" fontId="2" fillId="0" borderId="30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 vertical="center"/>
    </xf>
    <xf numFmtId="43" fontId="2" fillId="0" borderId="9" xfId="1" applyFont="1" applyBorder="1"/>
    <xf numFmtId="43" fontId="2" fillId="0" borderId="31" xfId="1" applyFont="1" applyBorder="1"/>
    <xf numFmtId="0" fontId="2" fillId="0" borderId="0" xfId="0" applyFont="1" applyBorder="1"/>
    <xf numFmtId="0" fontId="0" fillId="3" borderId="5" xfId="0" applyFill="1" applyBorder="1" applyAlignment="1">
      <alignment horizontal="center" vertical="center"/>
    </xf>
    <xf numFmtId="43" fontId="0" fillId="3" borderId="5" xfId="1" applyFont="1" applyFill="1" applyBorder="1"/>
    <xf numFmtId="0" fontId="2" fillId="0" borderId="30" xfId="0" applyFont="1" applyBorder="1" applyAlignment="1">
      <alignment horizontal="center" vertical="top"/>
    </xf>
    <xf numFmtId="0" fontId="2" fillId="5" borderId="4" xfId="0" applyFont="1" applyFill="1" applyBorder="1"/>
    <xf numFmtId="0" fontId="0" fillId="5" borderId="4" xfId="0" applyFont="1" applyFill="1" applyBorder="1"/>
    <xf numFmtId="0" fontId="0" fillId="5" borderId="4" xfId="0" applyFont="1" applyFill="1" applyBorder="1" applyAlignment="1">
      <alignment horizontal="center" vertical="center"/>
    </xf>
    <xf numFmtId="43" fontId="1" fillId="5" borderId="4" xfId="1" applyFont="1" applyFill="1" applyBorder="1"/>
    <xf numFmtId="43" fontId="2" fillId="0" borderId="1" xfId="1" applyFont="1" applyBorder="1"/>
    <xf numFmtId="43" fontId="2" fillId="0" borderId="0" xfId="1" applyFont="1" applyBorder="1"/>
    <xf numFmtId="43" fontId="0" fillId="3" borderId="9" xfId="1" applyFont="1" applyFill="1" applyBorder="1"/>
    <xf numFmtId="43" fontId="0" fillId="2" borderId="8" xfId="1" applyFont="1" applyFill="1" applyBorder="1"/>
    <xf numFmtId="43" fontId="0" fillId="2" borderId="9" xfId="1" applyFont="1" applyFill="1" applyBorder="1"/>
    <xf numFmtId="43" fontId="0" fillId="3" borderId="0" xfId="1" applyFont="1" applyFill="1"/>
    <xf numFmtId="43" fontId="7" fillId="6" borderId="17" xfId="1" applyFont="1" applyFill="1" applyBorder="1" applyAlignment="1">
      <alignment horizontal="center" vertical="center"/>
    </xf>
    <xf numFmtId="43" fontId="7" fillId="6" borderId="15" xfId="1" applyFont="1" applyFill="1" applyBorder="1" applyAlignment="1">
      <alignment horizontal="center" vertical="center"/>
    </xf>
    <xf numFmtId="0" fontId="0" fillId="5" borderId="28" xfId="0" applyFill="1" applyBorder="1" applyAlignment="1">
      <alignment vertical="center"/>
    </xf>
    <xf numFmtId="0" fontId="0" fillId="5" borderId="21" xfId="0" applyFill="1" applyBorder="1" applyAlignment="1">
      <alignment vertical="center"/>
    </xf>
    <xf numFmtId="43" fontId="0" fillId="0" borderId="9" xfId="1" applyFont="1" applyBorder="1" applyAlignment="1">
      <alignment horizontal="center" vertical="center"/>
    </xf>
    <xf numFmtId="43" fontId="0" fillId="3" borderId="5" xfId="1" applyFont="1" applyFill="1" applyBorder="1" applyAlignment="1">
      <alignment horizontal="right"/>
    </xf>
    <xf numFmtId="43" fontId="0" fillId="5" borderId="28" xfId="1" applyFont="1" applyFill="1" applyBorder="1" applyAlignment="1">
      <alignment horizontal="center" vertical="center"/>
    </xf>
    <xf numFmtId="43" fontId="0" fillId="5" borderId="32" xfId="1" applyFont="1" applyFill="1" applyBorder="1" applyAlignment="1">
      <alignment horizontal="center" vertical="center"/>
    </xf>
    <xf numFmtId="43" fontId="0" fillId="5" borderId="21" xfId="1" applyFont="1" applyFill="1" applyBorder="1" applyAlignment="1">
      <alignment horizontal="right"/>
    </xf>
    <xf numFmtId="43" fontId="0" fillId="5" borderId="34" xfId="1" applyFont="1" applyFill="1" applyBorder="1" applyAlignment="1">
      <alignment horizontal="right"/>
    </xf>
    <xf numFmtId="0" fontId="0" fillId="3" borderId="8" xfId="0" applyFill="1" applyBorder="1" applyAlignment="1">
      <alignment horizontal="center" vertical="center"/>
    </xf>
    <xf numFmtId="43" fontId="0" fillId="3" borderId="9" xfId="1" applyFont="1" applyFill="1" applyBorder="1" applyAlignment="1">
      <alignment horizontal="right"/>
    </xf>
    <xf numFmtId="43" fontId="0" fillId="5" borderId="5" xfId="1" applyFont="1" applyFill="1" applyBorder="1" applyAlignment="1">
      <alignment horizontal="right"/>
    </xf>
    <xf numFmtId="43" fontId="0" fillId="5" borderId="8" xfId="1" applyFont="1" applyFill="1" applyBorder="1" applyAlignment="1">
      <alignment horizontal="center" vertical="center"/>
    </xf>
    <xf numFmtId="43" fontId="4" fillId="6" borderId="13" xfId="1" applyFont="1" applyFill="1" applyBorder="1" applyAlignment="1">
      <alignment horizontal="center" vertical="center"/>
    </xf>
    <xf numFmtId="0" fontId="0" fillId="5" borderId="8" xfId="0" applyFill="1" applyBorder="1" applyAlignment="1">
      <alignment wrapText="1"/>
    </xf>
    <xf numFmtId="0" fontId="0" fillId="5" borderId="5" xfId="0" applyFill="1" applyBorder="1" applyAlignment="1">
      <alignment wrapText="1"/>
    </xf>
    <xf numFmtId="0" fontId="0" fillId="5" borderId="28" xfId="0" applyFill="1" applyBorder="1" applyAlignment="1">
      <alignment wrapText="1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43" fontId="4" fillId="6" borderId="17" xfId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43" fontId="4" fillId="6" borderId="10" xfId="1" applyFont="1" applyFill="1" applyBorder="1" applyAlignment="1">
      <alignment horizontal="center" vertical="center"/>
    </xf>
    <xf numFmtId="43" fontId="4" fillId="6" borderId="11" xfId="1" applyFont="1" applyFill="1" applyBorder="1" applyAlignment="1">
      <alignment horizontal="center" vertical="center"/>
    </xf>
    <xf numFmtId="43" fontId="2" fillId="2" borderId="5" xfId="1" applyFont="1" applyFill="1" applyBorder="1"/>
    <xf numFmtId="43" fontId="2" fillId="5" borderId="29" xfId="1" applyFont="1" applyFill="1" applyBorder="1"/>
    <xf numFmtId="43" fontId="0" fillId="5" borderId="8" xfId="1" applyFont="1" applyFill="1" applyBorder="1" applyAlignment="1">
      <alignment horizontal="center"/>
    </xf>
    <xf numFmtId="43" fontId="0" fillId="5" borderId="32" xfId="1" applyFont="1" applyFill="1" applyBorder="1" applyAlignment="1">
      <alignment horizontal="center"/>
    </xf>
    <xf numFmtId="43" fontId="0" fillId="5" borderId="33" xfId="1" applyFont="1" applyFill="1" applyBorder="1" applyAlignment="1">
      <alignment horizontal="center"/>
    </xf>
    <xf numFmtId="43" fontId="0" fillId="5" borderId="5" xfId="1" applyFont="1" applyFill="1" applyBorder="1" applyAlignment="1">
      <alignment horizontal="center"/>
    </xf>
    <xf numFmtId="43" fontId="0" fillId="5" borderId="34" xfId="1" applyFont="1" applyFill="1" applyBorder="1" applyAlignment="1">
      <alignment horizontal="center"/>
    </xf>
    <xf numFmtId="43" fontId="0" fillId="5" borderId="35" xfId="1" applyFont="1" applyFill="1" applyBorder="1" applyAlignment="1">
      <alignment horizontal="center"/>
    </xf>
    <xf numFmtId="43" fontId="0" fillId="5" borderId="5" xfId="1" applyFont="1" applyFill="1" applyBorder="1" applyAlignment="1"/>
    <xf numFmtId="43" fontId="0" fillId="5" borderId="21" xfId="1" applyFont="1" applyFill="1" applyBorder="1" applyAlignment="1">
      <alignment horizontal="center"/>
    </xf>
    <xf numFmtId="43" fontId="0" fillId="5" borderId="28" xfId="1" applyFont="1" applyFill="1" applyBorder="1" applyAlignment="1">
      <alignment horizontal="center"/>
    </xf>
    <xf numFmtId="43" fontId="4" fillId="6" borderId="36" xfId="1" applyFont="1" applyFill="1" applyBorder="1" applyAlignment="1">
      <alignment horizontal="center" vertical="center"/>
    </xf>
    <xf numFmtId="43" fontId="8" fillId="0" borderId="4" xfId="1" applyFont="1" applyBorder="1" applyAlignment="1">
      <alignment horizontal="center" vertical="center"/>
    </xf>
    <xf numFmtId="0" fontId="0" fillId="5" borderId="4" xfId="0" applyFill="1" applyBorder="1" applyAlignment="1">
      <alignment wrapText="1"/>
    </xf>
    <xf numFmtId="43" fontId="0" fillId="3" borderId="8" xfId="1" applyFont="1" applyFill="1" applyBorder="1" applyAlignment="1">
      <alignment horizontal="center"/>
    </xf>
    <xf numFmtId="43" fontId="7" fillId="6" borderId="14" xfId="1" applyFont="1" applyFill="1" applyBorder="1" applyAlignment="1">
      <alignment horizontal="center" vertical="center"/>
    </xf>
    <xf numFmtId="43" fontId="0" fillId="5" borderId="4" xfId="1" applyFont="1" applyFill="1" applyBorder="1" applyAlignment="1">
      <alignment horizontal="right" vertical="center"/>
    </xf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3" borderId="4" xfId="0" applyFill="1" applyBorder="1" applyAlignment="1">
      <alignment vertical="center"/>
    </xf>
    <xf numFmtId="0" fontId="0" fillId="5" borderId="4" xfId="0" applyFill="1" applyBorder="1" applyAlignment="1">
      <alignment vertical="center"/>
    </xf>
    <xf numFmtId="0" fontId="0" fillId="0" borderId="4" xfId="0" applyBorder="1" applyAlignment="1">
      <alignment vertical="center"/>
    </xf>
    <xf numFmtId="43" fontId="0" fillId="3" borderId="4" xfId="1" applyFont="1" applyFill="1" applyBorder="1" applyAlignment="1">
      <alignment horizontal="right"/>
    </xf>
    <xf numFmtId="43" fontId="0" fillId="5" borderId="4" xfId="1" applyFont="1" applyFill="1" applyBorder="1" applyAlignment="1">
      <alignment horizontal="center" vertical="center"/>
    </xf>
    <xf numFmtId="43" fontId="0" fillId="5" borderId="4" xfId="1" applyFont="1" applyFill="1" applyBorder="1" applyAlignment="1">
      <alignment horizont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0" fillId="0" borderId="7" xfId="0" applyFont="1" applyBorder="1" applyAlignment="1">
      <alignment horizontal="center" vertical="center"/>
    </xf>
    <xf numFmtId="43" fontId="0" fillId="0" borderId="37" xfId="1" applyFont="1" applyBorder="1"/>
    <xf numFmtId="43" fontId="0" fillId="0" borderId="29" xfId="1" applyFont="1" applyBorder="1"/>
    <xf numFmtId="43" fontId="0" fillId="0" borderId="8" xfId="1" applyFont="1" applyBorder="1"/>
    <xf numFmtId="43" fontId="0" fillId="0" borderId="5" xfId="1" applyFont="1" applyBorder="1"/>
    <xf numFmtId="0" fontId="6" fillId="7" borderId="13" xfId="0" applyFont="1" applyFill="1" applyBorder="1" applyAlignment="1">
      <alignment horizontal="center" vertical="center"/>
    </xf>
    <xf numFmtId="0" fontId="6" fillId="7" borderId="20" xfId="0" applyFont="1" applyFill="1" applyBorder="1" applyAlignment="1">
      <alignment horizontal="center" vertical="center"/>
    </xf>
    <xf numFmtId="0" fontId="6" fillId="7" borderId="14" xfId="0" applyFont="1" applyFill="1" applyBorder="1" applyAlignment="1">
      <alignment horizontal="center" vertical="center"/>
    </xf>
    <xf numFmtId="0" fontId="6" fillId="7" borderId="15" xfId="0" applyFont="1" applyFill="1" applyBorder="1" applyAlignment="1">
      <alignment horizontal="center" vertical="center"/>
    </xf>
    <xf numFmtId="0" fontId="6" fillId="7" borderId="16" xfId="0" applyFont="1" applyFill="1" applyBorder="1" applyAlignment="1">
      <alignment horizontal="center" vertical="center"/>
    </xf>
    <xf numFmtId="0" fontId="6" fillId="7" borderId="17" xfId="0" applyFont="1" applyFill="1" applyBorder="1" applyAlignment="1">
      <alignment horizontal="center" vertical="center"/>
    </xf>
    <xf numFmtId="43" fontId="11" fillId="0" borderId="8" xfId="1" applyFont="1" applyBorder="1" applyAlignment="1">
      <alignment horizontal="center"/>
    </xf>
    <xf numFmtId="43" fontId="11" fillId="0" borderId="9" xfId="1" applyFont="1" applyBorder="1" applyAlignment="1">
      <alignment horizontal="center"/>
    </xf>
    <xf numFmtId="43" fontId="11" fillId="0" borderId="5" xfId="1" applyFont="1" applyBorder="1" applyAlignment="1">
      <alignment horizontal="center"/>
    </xf>
    <xf numFmtId="0" fontId="0" fillId="2" borderId="8" xfId="0" applyFill="1" applyBorder="1" applyAlignment="1">
      <alignment horizontal="center" vertical="top"/>
    </xf>
    <xf numFmtId="0" fontId="0" fillId="2" borderId="9" xfId="0" applyFill="1" applyBorder="1" applyAlignment="1">
      <alignment horizontal="center" vertical="top"/>
    </xf>
    <xf numFmtId="0" fontId="0" fillId="2" borderId="5" xfId="0" applyFill="1" applyBorder="1" applyAlignment="1">
      <alignment horizontal="center" vertical="top"/>
    </xf>
    <xf numFmtId="0" fontId="2" fillId="0" borderId="8" xfId="0" applyFont="1" applyBorder="1" applyAlignment="1">
      <alignment horizontal="center" vertical="top"/>
    </xf>
    <xf numFmtId="0" fontId="2" fillId="0" borderId="9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0" borderId="8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5" borderId="13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/>
    </xf>
    <xf numFmtId="0" fontId="3" fillId="5" borderId="14" xfId="0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0" fontId="3" fillId="5" borderId="16" xfId="0" applyFont="1" applyFill="1" applyBorder="1" applyAlignment="1">
      <alignment horizontal="center" vertical="center"/>
    </xf>
    <xf numFmtId="0" fontId="3" fillId="5" borderId="17" xfId="0" applyFont="1" applyFill="1" applyBorder="1" applyAlignment="1">
      <alignment horizontal="center" vertical="center"/>
    </xf>
    <xf numFmtId="43" fontId="4" fillId="6" borderId="10" xfId="1" applyFont="1" applyFill="1" applyBorder="1" applyAlignment="1">
      <alignment horizontal="center" vertical="center"/>
    </xf>
    <xf numFmtId="43" fontId="4" fillId="6" borderId="11" xfId="1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5" borderId="8" xfId="0" applyFill="1" applyBorder="1" applyAlignment="1">
      <alignment horizontal="left" vertical="center"/>
    </xf>
    <xf numFmtId="0" fontId="0" fillId="5" borderId="5" xfId="0" applyFill="1" applyBorder="1" applyAlignment="1">
      <alignment horizontal="left" vertical="center"/>
    </xf>
    <xf numFmtId="0" fontId="0" fillId="4" borderId="8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43" fontId="7" fillId="6" borderId="18" xfId="1" applyFont="1" applyFill="1" applyBorder="1" applyAlignment="1">
      <alignment horizontal="center" vertical="center"/>
    </xf>
    <xf numFmtId="43" fontId="7" fillId="6" borderId="19" xfId="1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26" xfId="0" applyFont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4" fillId="6" borderId="11" xfId="0" applyFont="1" applyFill="1" applyBorder="1" applyAlignment="1">
      <alignment horizontal="center" vertical="center"/>
    </xf>
    <xf numFmtId="0" fontId="4" fillId="6" borderId="24" xfId="0" applyFont="1" applyFill="1" applyBorder="1" applyAlignment="1">
      <alignment horizontal="center" vertical="center"/>
    </xf>
    <xf numFmtId="0" fontId="4" fillId="6" borderId="25" xfId="0" applyFont="1" applyFill="1" applyBorder="1" applyAlignment="1">
      <alignment horizontal="center" vertical="center"/>
    </xf>
    <xf numFmtId="0" fontId="7" fillId="6" borderId="24" xfId="0" applyFont="1" applyFill="1" applyBorder="1" applyAlignment="1">
      <alignment horizontal="center" vertical="center"/>
    </xf>
    <xf numFmtId="0" fontId="7" fillId="6" borderId="25" xfId="0" applyFont="1" applyFill="1" applyBorder="1" applyAlignment="1">
      <alignment horizontal="center" vertical="center"/>
    </xf>
    <xf numFmtId="43" fontId="4" fillId="6" borderId="23" xfId="1" applyFont="1" applyFill="1" applyBorder="1" applyAlignment="1">
      <alignment horizontal="center" vertical="center"/>
    </xf>
    <xf numFmtId="43" fontId="4" fillId="6" borderId="27" xfId="1" applyFont="1" applyFill="1" applyBorder="1" applyAlignment="1">
      <alignment horizontal="center" vertical="center"/>
    </xf>
    <xf numFmtId="43" fontId="9" fillId="6" borderId="23" xfId="1" applyFont="1" applyFill="1" applyBorder="1" applyAlignment="1">
      <alignment horizontal="center" vertical="center"/>
    </xf>
    <xf numFmtId="43" fontId="9" fillId="6" borderId="27" xfId="1" applyFont="1" applyFill="1" applyBorder="1" applyAlignment="1">
      <alignment horizontal="center" vertical="center"/>
    </xf>
    <xf numFmtId="43" fontId="4" fillId="6" borderId="24" xfId="1" applyFont="1" applyFill="1" applyBorder="1" applyAlignment="1">
      <alignment horizontal="center" vertical="center"/>
    </xf>
    <xf numFmtId="43" fontId="4" fillId="6" borderId="25" xfId="1" applyFont="1" applyFill="1" applyBorder="1" applyAlignment="1">
      <alignment horizontal="center" vertical="center"/>
    </xf>
    <xf numFmtId="43" fontId="4" fillId="6" borderId="10" xfId="1" applyFont="1" applyFill="1" applyBorder="1" applyAlignment="1">
      <alignment horizontal="center" vertical="center" wrapText="1"/>
    </xf>
    <xf numFmtId="43" fontId="4" fillId="6" borderId="11" xfId="1" applyFont="1" applyFill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32"/>
  <sheetViews>
    <sheetView topLeftCell="B7" workbookViewId="0">
      <selection activeCell="F18" sqref="F18"/>
    </sheetView>
  </sheetViews>
  <sheetFormatPr defaultRowHeight="15"/>
  <cols>
    <col min="1" max="1" width="5.140625" bestFit="1" customWidth="1"/>
    <col min="2" max="2" width="12" customWidth="1"/>
    <col min="3" max="3" width="10.42578125" customWidth="1"/>
    <col min="4" max="4" width="30.85546875" bestFit="1" customWidth="1"/>
    <col min="5" max="5" width="6.42578125" style="11" customWidth="1"/>
    <col min="6" max="6" width="37.140625" bestFit="1" customWidth="1"/>
    <col min="7" max="7" width="6.42578125" style="11" customWidth="1"/>
    <col min="8" max="8" width="11.5703125" style="7" bestFit="1" customWidth="1"/>
    <col min="9" max="9" width="13.28515625" style="7" bestFit="1" customWidth="1"/>
    <col min="10" max="10" width="11.5703125" style="7" bestFit="1" customWidth="1"/>
    <col min="11" max="11" width="13.28515625" style="7" bestFit="1" customWidth="1"/>
    <col min="12" max="12" width="16.140625" style="7" customWidth="1"/>
  </cols>
  <sheetData>
    <row r="1" spans="1:14" ht="15.75" thickBot="1"/>
    <row r="2" spans="1:14" ht="15" customHeight="1">
      <c r="A2" s="116" t="s">
        <v>62</v>
      </c>
      <c r="B2" s="117"/>
      <c r="C2" s="117"/>
      <c r="D2" s="117"/>
      <c r="E2" s="117"/>
      <c r="F2" s="117"/>
      <c r="G2" s="117"/>
      <c r="H2" s="117"/>
      <c r="I2" s="117"/>
      <c r="J2" s="117"/>
      <c r="K2" s="117"/>
      <c r="L2" s="117"/>
      <c r="M2" s="117"/>
      <c r="N2" s="118"/>
    </row>
    <row r="3" spans="1:14" ht="15.75" customHeight="1" thickBot="1">
      <c r="A3" s="119"/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1"/>
    </row>
    <row r="4" spans="1:14" ht="15.75" thickBot="1"/>
    <row r="5" spans="1:14" ht="15.75" thickBot="1">
      <c r="A5" s="5" t="s">
        <v>0</v>
      </c>
      <c r="B5" s="6" t="s">
        <v>1</v>
      </c>
      <c r="C5" s="6" t="s">
        <v>2</v>
      </c>
      <c r="D5" s="6" t="s">
        <v>8</v>
      </c>
      <c r="E5" s="111" t="s">
        <v>67</v>
      </c>
      <c r="F5" s="6" t="s">
        <v>9</v>
      </c>
      <c r="G5" s="12" t="s">
        <v>3</v>
      </c>
      <c r="H5" s="8" t="s">
        <v>4</v>
      </c>
      <c r="I5" s="8" t="s">
        <v>5</v>
      </c>
      <c r="J5" s="8" t="s">
        <v>6</v>
      </c>
      <c r="K5" s="10" t="s">
        <v>7</v>
      </c>
      <c r="L5" s="50" t="s">
        <v>24</v>
      </c>
      <c r="M5" s="1"/>
      <c r="N5" s="2"/>
    </row>
    <row r="6" spans="1:14">
      <c r="A6" s="37"/>
      <c r="B6" s="38"/>
      <c r="C6" s="38"/>
      <c r="D6" s="38"/>
      <c r="E6" s="39" t="s">
        <v>66</v>
      </c>
      <c r="F6" s="38"/>
      <c r="G6" s="39"/>
      <c r="H6" s="40"/>
      <c r="I6" s="40"/>
      <c r="J6" s="40"/>
      <c r="K6" s="41"/>
      <c r="L6" s="51"/>
      <c r="M6" s="42"/>
      <c r="N6" s="42"/>
    </row>
    <row r="7" spans="1:14">
      <c r="A7" s="45">
        <v>1</v>
      </c>
      <c r="B7" s="47" t="s">
        <v>43</v>
      </c>
      <c r="C7" s="46"/>
      <c r="D7" s="47" t="s">
        <v>44</v>
      </c>
      <c r="E7" s="48"/>
      <c r="F7" s="47" t="s">
        <v>45</v>
      </c>
      <c r="G7" s="48">
        <v>1</v>
      </c>
      <c r="H7" s="49">
        <v>18000</v>
      </c>
      <c r="I7" s="49">
        <v>18000</v>
      </c>
      <c r="J7" s="49">
        <v>2340</v>
      </c>
      <c r="K7" s="49">
        <v>20340</v>
      </c>
      <c r="L7" s="84">
        <v>20340</v>
      </c>
      <c r="M7" s="42"/>
      <c r="N7" s="42"/>
    </row>
    <row r="8" spans="1:14">
      <c r="A8" s="29"/>
      <c r="B8" s="29"/>
      <c r="C8" s="29"/>
      <c r="D8" s="29"/>
      <c r="E8" s="43"/>
      <c r="F8" s="29"/>
      <c r="G8" s="43"/>
      <c r="H8" s="44"/>
      <c r="I8" s="44"/>
      <c r="J8" s="44"/>
      <c r="K8" s="44"/>
      <c r="L8" s="52"/>
    </row>
    <row r="9" spans="1:14">
      <c r="A9" s="128">
        <v>2</v>
      </c>
      <c r="B9" s="125" t="s">
        <v>10</v>
      </c>
      <c r="C9" s="125"/>
      <c r="D9" s="125" t="s">
        <v>11</v>
      </c>
      <c r="E9" s="108"/>
      <c r="F9" s="15" t="s">
        <v>12</v>
      </c>
      <c r="G9" s="16">
        <v>329</v>
      </c>
      <c r="H9" s="17">
        <v>1749.8</v>
      </c>
      <c r="I9" s="17">
        <f>H9*G9</f>
        <v>575684.19999999995</v>
      </c>
      <c r="J9" s="17">
        <f>I9*13%</f>
        <v>74838.945999999996</v>
      </c>
      <c r="K9" s="17">
        <f>J9+I9</f>
        <v>650523.14599999995</v>
      </c>
      <c r="L9" s="53"/>
    </row>
    <row r="10" spans="1:14">
      <c r="A10" s="129"/>
      <c r="B10" s="126"/>
      <c r="C10" s="126"/>
      <c r="D10" s="126"/>
      <c r="E10" s="109"/>
      <c r="F10" s="15" t="s">
        <v>13</v>
      </c>
      <c r="G10" s="16">
        <v>20</v>
      </c>
      <c r="H10" s="17">
        <v>3835</v>
      </c>
      <c r="I10" s="17">
        <f t="shared" ref="I10:I20" si="0">H10*G10</f>
        <v>76700</v>
      </c>
      <c r="J10" s="17">
        <f t="shared" ref="J10:J20" si="1">I10*13%</f>
        <v>9971</v>
      </c>
      <c r="K10" s="17">
        <f t="shared" ref="K10:K20" si="2">J10+I10</f>
        <v>86671</v>
      </c>
      <c r="L10" s="54"/>
    </row>
    <row r="11" spans="1:14">
      <c r="A11" s="129"/>
      <c r="B11" s="126"/>
      <c r="C11" s="126"/>
      <c r="D11" s="126"/>
      <c r="E11" s="109"/>
      <c r="F11" s="15" t="s">
        <v>14</v>
      </c>
      <c r="G11" s="16">
        <v>20</v>
      </c>
      <c r="H11" s="17">
        <v>1950</v>
      </c>
      <c r="I11" s="17">
        <f t="shared" si="0"/>
        <v>39000</v>
      </c>
      <c r="J11" s="17">
        <f t="shared" si="1"/>
        <v>5070</v>
      </c>
      <c r="K11" s="17">
        <f t="shared" si="2"/>
        <v>44070</v>
      </c>
      <c r="L11" s="54"/>
    </row>
    <row r="12" spans="1:14">
      <c r="A12" s="129"/>
      <c r="B12" s="126"/>
      <c r="C12" s="126"/>
      <c r="D12" s="126"/>
      <c r="E12" s="109"/>
      <c r="F12" s="15" t="s">
        <v>15</v>
      </c>
      <c r="G12" s="16">
        <v>5</v>
      </c>
      <c r="H12" s="17">
        <v>6240</v>
      </c>
      <c r="I12" s="17">
        <f t="shared" si="0"/>
        <v>31200</v>
      </c>
      <c r="J12" s="17">
        <f t="shared" si="1"/>
        <v>4056</v>
      </c>
      <c r="K12" s="17">
        <f t="shared" si="2"/>
        <v>35256</v>
      </c>
      <c r="L12" s="54"/>
    </row>
    <row r="13" spans="1:14">
      <c r="A13" s="129"/>
      <c r="B13" s="126"/>
      <c r="C13" s="126"/>
      <c r="D13" s="126"/>
      <c r="E13" s="109"/>
      <c r="F13" s="15" t="s">
        <v>16</v>
      </c>
      <c r="G13" s="16">
        <v>10</v>
      </c>
      <c r="H13" s="17">
        <v>8645</v>
      </c>
      <c r="I13" s="17">
        <f t="shared" si="0"/>
        <v>86450</v>
      </c>
      <c r="J13" s="17">
        <f t="shared" si="1"/>
        <v>11238.5</v>
      </c>
      <c r="K13" s="17">
        <f t="shared" si="2"/>
        <v>97688.5</v>
      </c>
      <c r="L13" s="54"/>
    </row>
    <row r="14" spans="1:14">
      <c r="A14" s="129"/>
      <c r="B14" s="126"/>
      <c r="C14" s="126"/>
      <c r="D14" s="126"/>
      <c r="E14" s="109"/>
      <c r="F14" s="15" t="s">
        <v>17</v>
      </c>
      <c r="G14" s="16">
        <v>50</v>
      </c>
      <c r="H14" s="17">
        <v>5395</v>
      </c>
      <c r="I14" s="17">
        <f t="shared" si="0"/>
        <v>269750</v>
      </c>
      <c r="J14" s="17">
        <f t="shared" si="1"/>
        <v>35067.5</v>
      </c>
      <c r="K14" s="17">
        <f t="shared" si="2"/>
        <v>304817.5</v>
      </c>
      <c r="L14" s="54"/>
    </row>
    <row r="15" spans="1:14">
      <c r="A15" s="129"/>
      <c r="B15" s="126"/>
      <c r="C15" s="126"/>
      <c r="D15" s="126"/>
      <c r="E15" s="109"/>
      <c r="F15" s="15" t="s">
        <v>18</v>
      </c>
      <c r="G15" s="16">
        <v>20</v>
      </c>
      <c r="H15" s="17">
        <v>1300</v>
      </c>
      <c r="I15" s="17">
        <f t="shared" si="0"/>
        <v>26000</v>
      </c>
      <c r="J15" s="17">
        <f t="shared" si="1"/>
        <v>3380</v>
      </c>
      <c r="K15" s="17">
        <f t="shared" si="2"/>
        <v>29380</v>
      </c>
      <c r="L15" s="54"/>
    </row>
    <row r="16" spans="1:14">
      <c r="A16" s="129"/>
      <c r="B16" s="126"/>
      <c r="C16" s="126"/>
      <c r="D16" s="126"/>
      <c r="E16" s="109"/>
      <c r="F16" s="15" t="s">
        <v>19</v>
      </c>
      <c r="G16" s="16">
        <v>20</v>
      </c>
      <c r="H16" s="17">
        <v>3770</v>
      </c>
      <c r="I16" s="17">
        <f t="shared" si="0"/>
        <v>75400</v>
      </c>
      <c r="J16" s="17">
        <f t="shared" si="1"/>
        <v>9802</v>
      </c>
      <c r="K16" s="17">
        <f t="shared" si="2"/>
        <v>85202</v>
      </c>
      <c r="L16" s="54"/>
    </row>
    <row r="17" spans="1:12">
      <c r="A17" s="129"/>
      <c r="B17" s="126"/>
      <c r="C17" s="126"/>
      <c r="D17" s="126"/>
      <c r="E17" s="109"/>
      <c r="F17" s="15" t="s">
        <v>20</v>
      </c>
      <c r="G17" s="16">
        <v>5</v>
      </c>
      <c r="H17" s="17">
        <v>135752.21</v>
      </c>
      <c r="I17" s="17">
        <f t="shared" si="0"/>
        <v>678761.04999999993</v>
      </c>
      <c r="J17" s="17">
        <f t="shared" si="1"/>
        <v>88238.936499999996</v>
      </c>
      <c r="K17" s="17">
        <f t="shared" si="2"/>
        <v>766999.98649999988</v>
      </c>
      <c r="L17" s="54"/>
    </row>
    <row r="18" spans="1:12">
      <c r="A18" s="129"/>
      <c r="B18" s="126"/>
      <c r="C18" s="126"/>
      <c r="D18" s="126"/>
      <c r="E18" s="109"/>
      <c r="F18" s="15" t="s">
        <v>21</v>
      </c>
      <c r="G18" s="16">
        <v>10</v>
      </c>
      <c r="H18" s="17">
        <v>60973.45</v>
      </c>
      <c r="I18" s="17">
        <f t="shared" si="0"/>
        <v>609734.5</v>
      </c>
      <c r="J18" s="17">
        <f t="shared" si="1"/>
        <v>79265.485000000001</v>
      </c>
      <c r="K18" s="17">
        <f t="shared" si="2"/>
        <v>688999.98499999999</v>
      </c>
      <c r="L18" s="54"/>
    </row>
    <row r="19" spans="1:12">
      <c r="A19" s="129"/>
      <c r="B19" s="126"/>
      <c r="C19" s="126"/>
      <c r="D19" s="126"/>
      <c r="E19" s="109"/>
      <c r="F19" s="15" t="s">
        <v>22</v>
      </c>
      <c r="G19" s="16">
        <v>5</v>
      </c>
      <c r="H19" s="17">
        <v>246792</v>
      </c>
      <c r="I19" s="17">
        <f t="shared" si="0"/>
        <v>1233960</v>
      </c>
      <c r="J19" s="17">
        <f t="shared" si="1"/>
        <v>160414.80000000002</v>
      </c>
      <c r="K19" s="17">
        <f t="shared" si="2"/>
        <v>1394374.8</v>
      </c>
      <c r="L19" s="54"/>
    </row>
    <row r="20" spans="1:12">
      <c r="A20" s="130"/>
      <c r="B20" s="127"/>
      <c r="C20" s="127"/>
      <c r="D20" s="127"/>
      <c r="E20" s="110"/>
      <c r="F20" s="15" t="s">
        <v>23</v>
      </c>
      <c r="G20" s="16">
        <v>10</v>
      </c>
      <c r="H20" s="17">
        <v>164528</v>
      </c>
      <c r="I20" s="17">
        <f t="shared" si="0"/>
        <v>1645280</v>
      </c>
      <c r="J20" s="17">
        <f t="shared" si="1"/>
        <v>213886.4</v>
      </c>
      <c r="K20" s="17">
        <f t="shared" si="2"/>
        <v>1859166.4</v>
      </c>
      <c r="L20" s="83">
        <v>6043149.2800000003</v>
      </c>
    </row>
    <row r="21" spans="1:12">
      <c r="A21" s="18"/>
      <c r="B21" s="18"/>
      <c r="C21" s="18"/>
      <c r="D21" s="18"/>
      <c r="E21" s="19"/>
      <c r="F21" s="18"/>
      <c r="G21" s="19"/>
      <c r="H21" s="20"/>
      <c r="I21" s="20"/>
      <c r="J21" s="20"/>
      <c r="K21" s="20"/>
      <c r="L21" s="55"/>
    </row>
    <row r="22" spans="1:12">
      <c r="A22" s="3"/>
      <c r="B22" s="3"/>
      <c r="C22" s="3"/>
      <c r="D22" s="3"/>
      <c r="E22" s="14"/>
      <c r="F22" s="3"/>
      <c r="G22" s="14"/>
      <c r="H22" s="9"/>
      <c r="I22" s="9"/>
      <c r="J22" s="9"/>
      <c r="K22" s="9"/>
      <c r="L22" s="9"/>
    </row>
    <row r="23" spans="1:12" ht="15" customHeight="1">
      <c r="A23" s="3">
        <v>3</v>
      </c>
      <c r="B23" s="3" t="s">
        <v>64</v>
      </c>
      <c r="C23" s="3"/>
      <c r="D23" s="3" t="s">
        <v>65</v>
      </c>
      <c r="E23" s="14">
        <v>24</v>
      </c>
      <c r="F23" s="3" t="s">
        <v>68</v>
      </c>
      <c r="G23" s="14">
        <v>1</v>
      </c>
      <c r="H23" s="9">
        <v>69208.7</v>
      </c>
      <c r="I23" s="9">
        <f>H23*G23</f>
        <v>69208.7</v>
      </c>
      <c r="J23" s="9">
        <f>I23*13%</f>
        <v>8997.1309999999994</v>
      </c>
      <c r="K23" s="9">
        <f>J23+I23</f>
        <v>78205.830999999991</v>
      </c>
      <c r="L23" s="122">
        <v>966563.56</v>
      </c>
    </row>
    <row r="24" spans="1:12" ht="15" customHeight="1">
      <c r="A24" s="3"/>
      <c r="B24" s="3"/>
      <c r="C24" s="3"/>
      <c r="D24" s="3"/>
      <c r="E24" s="14"/>
      <c r="F24" s="3" t="s">
        <v>69</v>
      </c>
      <c r="G24" s="14">
        <v>1</v>
      </c>
      <c r="H24" s="9">
        <v>15933.62</v>
      </c>
      <c r="I24" s="9">
        <f t="shared" ref="I24:I30" si="3">H24*G24</f>
        <v>15933.62</v>
      </c>
      <c r="J24" s="9">
        <f t="shared" ref="J24:J30" si="4">I24*13%</f>
        <v>2071.3706000000002</v>
      </c>
      <c r="K24" s="9">
        <f t="shared" ref="K24:K30" si="5">J24+I24</f>
        <v>18004.990600000001</v>
      </c>
      <c r="L24" s="123"/>
    </row>
    <row r="25" spans="1:12" ht="15" customHeight="1">
      <c r="A25" s="3"/>
      <c r="B25" s="3"/>
      <c r="C25" s="3"/>
      <c r="D25" s="3"/>
      <c r="E25" s="14"/>
      <c r="F25" s="3" t="s">
        <v>70</v>
      </c>
      <c r="G25" s="14">
        <v>2</v>
      </c>
      <c r="H25" s="9">
        <v>12392.38</v>
      </c>
      <c r="I25" s="9">
        <f t="shared" si="3"/>
        <v>24784.76</v>
      </c>
      <c r="J25" s="9">
        <f t="shared" si="4"/>
        <v>3222.0187999999998</v>
      </c>
      <c r="K25" s="9">
        <f t="shared" si="5"/>
        <v>28006.7788</v>
      </c>
      <c r="L25" s="123"/>
    </row>
    <row r="26" spans="1:12" ht="15" customHeight="1">
      <c r="A26" s="3"/>
      <c r="B26" s="3"/>
      <c r="C26" s="3"/>
      <c r="D26" s="3"/>
      <c r="E26" s="14"/>
      <c r="F26" s="3" t="s">
        <v>71</v>
      </c>
      <c r="G26" s="14">
        <v>2</v>
      </c>
      <c r="H26" s="9">
        <v>5064.1400000000003</v>
      </c>
      <c r="I26" s="9">
        <f t="shared" si="3"/>
        <v>10128.280000000001</v>
      </c>
      <c r="J26" s="9">
        <f t="shared" si="4"/>
        <v>1316.6764000000001</v>
      </c>
      <c r="K26" s="9">
        <f t="shared" si="5"/>
        <v>11444.956400000001</v>
      </c>
      <c r="L26" s="123"/>
    </row>
    <row r="27" spans="1:12" ht="15" customHeight="1">
      <c r="A27" s="3"/>
      <c r="B27" s="3"/>
      <c r="C27" s="3"/>
      <c r="D27" s="3"/>
      <c r="E27" s="14"/>
      <c r="F27" s="3" t="s">
        <v>72</v>
      </c>
      <c r="G27" s="14">
        <v>2</v>
      </c>
      <c r="H27" s="9">
        <v>96215.85</v>
      </c>
      <c r="I27" s="9">
        <f t="shared" si="3"/>
        <v>192431.7</v>
      </c>
      <c r="J27" s="9">
        <f t="shared" si="4"/>
        <v>25016.121000000003</v>
      </c>
      <c r="K27" s="9">
        <f t="shared" si="5"/>
        <v>217447.82100000003</v>
      </c>
      <c r="L27" s="123"/>
    </row>
    <row r="28" spans="1:12" ht="15" customHeight="1">
      <c r="A28" s="3"/>
      <c r="B28" s="3"/>
      <c r="C28" s="3"/>
      <c r="D28" s="3"/>
      <c r="E28" s="14"/>
      <c r="F28" s="3" t="s">
        <v>73</v>
      </c>
      <c r="G28" s="14">
        <v>2</v>
      </c>
      <c r="H28" s="9">
        <v>10666.67</v>
      </c>
      <c r="I28" s="9">
        <f t="shared" si="3"/>
        <v>21333.34</v>
      </c>
      <c r="J28" s="9">
        <f t="shared" si="4"/>
        <v>2773.3342000000002</v>
      </c>
      <c r="K28" s="9">
        <f t="shared" si="5"/>
        <v>24106.674200000001</v>
      </c>
      <c r="L28" s="123"/>
    </row>
    <row r="29" spans="1:12" ht="15" customHeight="1">
      <c r="A29" s="3"/>
      <c r="B29" s="3"/>
      <c r="C29" s="3"/>
      <c r="D29" s="3"/>
      <c r="E29" s="14"/>
      <c r="F29" s="3" t="s">
        <v>74</v>
      </c>
      <c r="G29" s="14">
        <v>3</v>
      </c>
      <c r="H29" s="9">
        <v>18103.330000000002</v>
      </c>
      <c r="I29" s="9">
        <f t="shared" si="3"/>
        <v>54309.990000000005</v>
      </c>
      <c r="J29" s="9">
        <f t="shared" si="4"/>
        <v>7060.2987000000012</v>
      </c>
      <c r="K29" s="9">
        <f t="shared" si="5"/>
        <v>61370.288700000005</v>
      </c>
      <c r="L29" s="123"/>
    </row>
    <row r="30" spans="1:12" ht="15.75" customHeight="1" thickBot="1">
      <c r="A30" s="3"/>
      <c r="B30" s="3"/>
      <c r="C30" s="3"/>
      <c r="D30" s="3"/>
      <c r="E30" s="14"/>
      <c r="F30" s="3" t="s">
        <v>75</v>
      </c>
      <c r="G30" s="14">
        <v>200</v>
      </c>
      <c r="H30" s="9">
        <v>2336.1799999999998</v>
      </c>
      <c r="I30" s="9">
        <f t="shared" si="3"/>
        <v>467235.99999999994</v>
      </c>
      <c r="J30" s="114">
        <f t="shared" si="4"/>
        <v>60740.679999999993</v>
      </c>
      <c r="K30" s="9">
        <f t="shared" si="5"/>
        <v>527976.67999999993</v>
      </c>
      <c r="L30" s="124"/>
    </row>
    <row r="31" spans="1:12" ht="15.75" thickBot="1">
      <c r="A31" s="3"/>
      <c r="B31" s="3"/>
      <c r="C31" s="3"/>
      <c r="D31" s="3"/>
      <c r="E31" s="14"/>
      <c r="F31" s="3"/>
      <c r="G31" s="14"/>
      <c r="H31" s="9"/>
      <c r="I31" s="112"/>
      <c r="J31" s="50">
        <f>SUM(J23:J30)</f>
        <v>111197.63069999999</v>
      </c>
      <c r="K31" s="113"/>
      <c r="L31" s="9"/>
    </row>
    <row r="32" spans="1:12">
      <c r="A32" s="3"/>
      <c r="B32" s="3"/>
      <c r="C32" s="3"/>
      <c r="D32" s="3"/>
      <c r="E32" s="14"/>
      <c r="F32" s="3"/>
      <c r="G32" s="14"/>
      <c r="H32" s="9"/>
      <c r="I32" s="9"/>
      <c r="J32" s="115"/>
      <c r="K32" s="9"/>
      <c r="L32" s="9"/>
    </row>
  </sheetData>
  <mergeCells count="6">
    <mergeCell ref="A2:N3"/>
    <mergeCell ref="L23:L30"/>
    <mergeCell ref="B9:B20"/>
    <mergeCell ref="C9:C20"/>
    <mergeCell ref="D9:D20"/>
    <mergeCell ref="A9:A20"/>
  </mergeCell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4"/>
  <sheetViews>
    <sheetView tabSelected="1" topLeftCell="F1" workbookViewId="0">
      <selection activeCell="P14" sqref="P14"/>
    </sheetView>
  </sheetViews>
  <sheetFormatPr defaultRowHeight="15"/>
  <cols>
    <col min="1" max="1" width="2.85546875" style="100" customWidth="1"/>
    <col min="2" max="2" width="8.140625" style="100" bestFit="1" customWidth="1"/>
    <col min="3" max="3" width="8.140625" style="100" customWidth="1"/>
    <col min="4" max="4" width="23.7109375" bestFit="1" customWidth="1"/>
    <col min="5" max="5" width="32.140625" customWidth="1"/>
    <col min="6" max="6" width="4" style="11" customWidth="1"/>
    <col min="7" max="8" width="7.42578125" style="11" customWidth="1"/>
    <col min="9" max="9" width="10.5703125" style="22" bestFit="1" customWidth="1"/>
    <col min="10" max="10" width="11.5703125" style="22" bestFit="1" customWidth="1"/>
    <col min="11" max="11" width="11.5703125" style="22" customWidth="1"/>
    <col min="12" max="12" width="13.28515625" style="22" bestFit="1" customWidth="1"/>
    <col min="13" max="13" width="13.28515625" style="22" customWidth="1"/>
    <col min="14" max="15" width="11.5703125" style="22" bestFit="1" customWidth="1"/>
    <col min="16" max="16" width="9.28515625" style="22" bestFit="1" customWidth="1"/>
    <col min="17" max="17" width="9.85546875" style="22" bestFit="1" customWidth="1"/>
    <col min="18" max="18" width="9.5703125" style="22" bestFit="1" customWidth="1"/>
    <col min="19" max="19" width="16.7109375" style="22" customWidth="1"/>
    <col min="20" max="20" width="13.7109375" style="22" customWidth="1"/>
    <col min="21" max="21" width="11.5703125" style="22" bestFit="1" customWidth="1"/>
    <col min="22" max="22" width="10.5703125" style="22" bestFit="1" customWidth="1"/>
  </cols>
  <sheetData>
    <row r="1" spans="1:22" ht="15.75" thickBot="1"/>
    <row r="2" spans="1:22" ht="15" customHeight="1">
      <c r="A2" s="133" t="s">
        <v>38</v>
      </c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5"/>
      <c r="V2"/>
    </row>
    <row r="3" spans="1:22" ht="15.75" customHeight="1" thickBot="1">
      <c r="A3" s="136"/>
      <c r="B3" s="137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8"/>
      <c r="V3"/>
    </row>
    <row r="4" spans="1:22" ht="15.75" thickBot="1"/>
    <row r="5" spans="1:22">
      <c r="A5" s="151" t="s">
        <v>25</v>
      </c>
      <c r="B5" s="153" t="s">
        <v>40</v>
      </c>
      <c r="C5" s="153" t="s">
        <v>39</v>
      </c>
      <c r="D5" s="155" t="s">
        <v>8</v>
      </c>
      <c r="E5" s="155" t="s">
        <v>26</v>
      </c>
      <c r="F5" s="157" t="s">
        <v>3</v>
      </c>
      <c r="G5" s="74" t="s">
        <v>51</v>
      </c>
      <c r="H5" s="74"/>
      <c r="I5" s="163" t="s">
        <v>27</v>
      </c>
      <c r="J5" s="139" t="s">
        <v>46</v>
      </c>
      <c r="K5" s="34" t="s">
        <v>52</v>
      </c>
      <c r="L5" s="149" t="s">
        <v>28</v>
      </c>
      <c r="M5" s="98" t="s">
        <v>59</v>
      </c>
      <c r="N5" s="34" t="s">
        <v>29</v>
      </c>
      <c r="O5" s="165" t="s">
        <v>54</v>
      </c>
      <c r="P5" s="81" t="s">
        <v>31</v>
      </c>
      <c r="Q5" s="70" t="s">
        <v>48</v>
      </c>
      <c r="R5" s="35" t="s">
        <v>33</v>
      </c>
      <c r="S5" s="159" t="s">
        <v>6</v>
      </c>
      <c r="T5" s="139" t="s">
        <v>47</v>
      </c>
      <c r="U5" s="35" t="s">
        <v>42</v>
      </c>
      <c r="V5" s="161" t="s">
        <v>63</v>
      </c>
    </row>
    <row r="6" spans="1:22" ht="15.75" thickBot="1">
      <c r="A6" s="152"/>
      <c r="B6" s="154"/>
      <c r="C6" s="154"/>
      <c r="D6" s="156"/>
      <c r="E6" s="156"/>
      <c r="F6" s="158"/>
      <c r="G6" s="75"/>
      <c r="H6" s="75"/>
      <c r="I6" s="164"/>
      <c r="J6" s="140"/>
      <c r="K6" s="78" t="s">
        <v>53</v>
      </c>
      <c r="L6" s="150"/>
      <c r="M6" s="56"/>
      <c r="N6" s="56" t="s">
        <v>30</v>
      </c>
      <c r="O6" s="166"/>
      <c r="P6" s="82" t="s">
        <v>55</v>
      </c>
      <c r="Q6" s="57" t="s">
        <v>32</v>
      </c>
      <c r="R6" s="36" t="s">
        <v>34</v>
      </c>
      <c r="S6" s="160"/>
      <c r="T6" s="140"/>
      <c r="U6" s="94" t="s">
        <v>37</v>
      </c>
      <c r="V6" s="162"/>
    </row>
    <row r="7" spans="1:22">
      <c r="A7" s="101"/>
      <c r="B7" s="101"/>
      <c r="C7" s="101"/>
      <c r="D7" s="25"/>
      <c r="E7" s="4"/>
      <c r="F7" s="13"/>
      <c r="G7" s="76"/>
      <c r="H7" s="76"/>
      <c r="I7" s="60"/>
      <c r="J7" s="60"/>
      <c r="K7" s="60"/>
      <c r="L7" s="60"/>
      <c r="M7" s="60"/>
      <c r="N7" s="60"/>
      <c r="O7" s="60"/>
      <c r="P7" s="60"/>
      <c r="Q7" s="60"/>
      <c r="R7" s="60"/>
      <c r="S7" s="60"/>
      <c r="T7" s="60"/>
      <c r="U7" s="95"/>
      <c r="V7" s="60"/>
    </row>
    <row r="8" spans="1:22" ht="30">
      <c r="A8" s="147">
        <v>1</v>
      </c>
      <c r="B8" s="141" t="s">
        <v>60</v>
      </c>
      <c r="C8" s="143" t="s">
        <v>35</v>
      </c>
      <c r="D8" s="71" t="s">
        <v>49</v>
      </c>
      <c r="E8" s="145" t="s">
        <v>36</v>
      </c>
      <c r="F8" s="58"/>
      <c r="G8" s="58"/>
      <c r="H8" s="58"/>
      <c r="I8" s="62"/>
      <c r="J8" s="69"/>
      <c r="K8" s="69"/>
      <c r="L8" s="69"/>
      <c r="M8" s="69"/>
      <c r="N8" s="69"/>
      <c r="O8" s="63"/>
      <c r="P8" s="69"/>
      <c r="Q8" s="63"/>
      <c r="R8" s="69"/>
      <c r="S8" s="106"/>
      <c r="T8" s="106"/>
      <c r="U8" s="69"/>
      <c r="V8" s="63"/>
    </row>
    <row r="9" spans="1:22">
      <c r="A9" s="148"/>
      <c r="B9" s="142"/>
      <c r="C9" s="144"/>
      <c r="D9" s="72"/>
      <c r="E9" s="146"/>
      <c r="F9" s="59">
        <v>2</v>
      </c>
      <c r="G9" s="59">
        <v>350</v>
      </c>
      <c r="H9" s="59">
        <v>132.38</v>
      </c>
      <c r="I9" s="64">
        <f>H9*G9</f>
        <v>46333</v>
      </c>
      <c r="J9" s="68">
        <f>I9*F9</f>
        <v>92666</v>
      </c>
      <c r="K9" s="68">
        <f>152*132.38+1853.32</f>
        <v>21975.079999999998</v>
      </c>
      <c r="L9" s="68">
        <f>(J9+K9)*15%</f>
        <v>17196.162</v>
      </c>
      <c r="M9" s="68"/>
      <c r="N9" s="68">
        <v>565</v>
      </c>
      <c r="O9" s="65">
        <f>N9+L9+K9+J9+V9</f>
        <v>150223.70199999999</v>
      </c>
      <c r="P9" s="68">
        <v>500</v>
      </c>
      <c r="Q9" s="65">
        <v>5459</v>
      </c>
      <c r="R9" s="68">
        <v>1250</v>
      </c>
      <c r="S9" s="107">
        <v>17140</v>
      </c>
      <c r="T9" s="26">
        <f>R9+Q9+P9+O9+S9</f>
        <v>174572.70199999999</v>
      </c>
      <c r="U9" s="68">
        <f>T9/F9</f>
        <v>87286.350999999995</v>
      </c>
      <c r="V9" s="65">
        <f>65+17140+31.46+65+520</f>
        <v>17821.46</v>
      </c>
    </row>
    <row r="10" spans="1:22">
      <c r="A10" s="102"/>
      <c r="B10" s="102"/>
      <c r="C10" s="102"/>
      <c r="D10" s="31"/>
      <c r="E10" s="33"/>
      <c r="F10" s="66"/>
      <c r="G10" s="77"/>
      <c r="H10" s="77"/>
      <c r="I10" s="67"/>
      <c r="J10" s="67">
        <f t="shared" ref="J10:J21" si="0">I10*F10</f>
        <v>0</v>
      </c>
      <c r="K10" s="67"/>
      <c r="L10" s="67"/>
      <c r="M10" s="67"/>
      <c r="N10" s="67"/>
      <c r="O10" s="67"/>
      <c r="P10" s="67"/>
      <c r="Q10" s="67"/>
      <c r="R10" s="67"/>
      <c r="S10" s="67"/>
      <c r="T10" s="26">
        <f t="shared" ref="T10:T11" si="1">R10+Q10+P10+O10+S10</f>
        <v>0</v>
      </c>
      <c r="U10" s="67"/>
      <c r="V10" s="67"/>
    </row>
    <row r="11" spans="1:22" ht="30">
      <c r="A11" s="131">
        <v>2</v>
      </c>
      <c r="B11" s="141" t="s">
        <v>60</v>
      </c>
      <c r="C11" s="141" t="s">
        <v>35</v>
      </c>
      <c r="D11" s="73" t="s">
        <v>50</v>
      </c>
      <c r="E11" s="143" t="s">
        <v>41</v>
      </c>
      <c r="F11" s="27">
        <v>2</v>
      </c>
      <c r="G11" s="79">
        <v>639</v>
      </c>
      <c r="H11" s="79">
        <v>132.38</v>
      </c>
      <c r="I11" s="85">
        <f>H11*G11</f>
        <v>84590.819999999992</v>
      </c>
      <c r="J11" s="85">
        <f t="shared" si="0"/>
        <v>169181.63999999998</v>
      </c>
      <c r="K11" s="86">
        <f>132.38*120+3441.88</f>
        <v>19327.48</v>
      </c>
      <c r="L11" s="85">
        <v>28277</v>
      </c>
      <c r="M11" s="93">
        <v>0</v>
      </c>
      <c r="N11" s="93">
        <v>565</v>
      </c>
      <c r="O11" s="85">
        <f>N11+L11+K11+J11+V11</f>
        <v>246215.58</v>
      </c>
      <c r="P11" s="86">
        <v>500</v>
      </c>
      <c r="Q11" s="85">
        <v>5429</v>
      </c>
      <c r="R11" s="86">
        <v>1363.44</v>
      </c>
      <c r="S11" s="85">
        <v>28183</v>
      </c>
      <c r="T11" s="26">
        <f t="shared" si="1"/>
        <v>281691.02</v>
      </c>
      <c r="U11" s="87">
        <f>T11/F11</f>
        <v>140845.51</v>
      </c>
      <c r="V11" s="85">
        <f>65+28183+31.46+65+520</f>
        <v>28864.46</v>
      </c>
    </row>
    <row r="12" spans="1:22">
      <c r="A12" s="132"/>
      <c r="B12" s="142"/>
      <c r="C12" s="142"/>
      <c r="D12" s="32"/>
      <c r="E12" s="144"/>
      <c r="F12" s="28"/>
      <c r="G12" s="80"/>
      <c r="H12" s="80"/>
      <c r="I12" s="85"/>
      <c r="J12" s="88"/>
      <c r="K12" s="89"/>
      <c r="L12" s="88"/>
      <c r="M12" s="92"/>
      <c r="N12" s="92"/>
      <c r="O12" s="88"/>
      <c r="P12" s="89"/>
      <c r="Q12" s="88"/>
      <c r="R12" s="89"/>
      <c r="S12" s="88"/>
      <c r="T12" s="91"/>
      <c r="U12" s="90"/>
      <c r="V12" s="88"/>
    </row>
    <row r="13" spans="1:22">
      <c r="A13" s="102"/>
      <c r="B13" s="102"/>
      <c r="C13" s="102"/>
      <c r="D13" s="29"/>
      <c r="E13" s="29"/>
      <c r="F13" s="43"/>
      <c r="G13" s="43"/>
      <c r="H13" s="43"/>
      <c r="I13" s="97"/>
      <c r="J13" s="61">
        <f t="shared" si="0"/>
        <v>0</v>
      </c>
      <c r="K13" s="61"/>
      <c r="L13" s="61"/>
      <c r="M13" s="61"/>
      <c r="N13" s="61"/>
      <c r="O13" s="61"/>
      <c r="P13" s="61"/>
      <c r="Q13" s="61"/>
      <c r="R13" s="61"/>
      <c r="S13" s="61"/>
      <c r="T13" s="61"/>
      <c r="U13" s="61"/>
      <c r="V13" s="61"/>
    </row>
    <row r="14" spans="1:22" ht="30">
      <c r="A14" s="104">
        <v>3</v>
      </c>
      <c r="B14" s="103" t="s">
        <v>61</v>
      </c>
      <c r="C14" s="103" t="s">
        <v>56</v>
      </c>
      <c r="D14" s="96" t="s">
        <v>57</v>
      </c>
      <c r="E14" s="24" t="s">
        <v>58</v>
      </c>
      <c r="F14" s="30">
        <v>5</v>
      </c>
      <c r="G14" s="30">
        <v>749.25</v>
      </c>
      <c r="H14" s="30">
        <v>132.41</v>
      </c>
      <c r="I14" s="69">
        <f t="shared" ref="I14" si="2">H14*G14</f>
        <v>99208.192500000005</v>
      </c>
      <c r="J14" s="99">
        <f t="shared" si="0"/>
        <v>496040.96250000002</v>
      </c>
      <c r="K14" s="99">
        <f>3972.3+9930.75</f>
        <v>13903.05</v>
      </c>
      <c r="L14" s="99">
        <v>25498</v>
      </c>
      <c r="M14" s="99">
        <v>26773</v>
      </c>
      <c r="N14" s="99">
        <v>565</v>
      </c>
      <c r="O14" s="99">
        <f>J14+K14+L14+M14+N14</f>
        <v>562780.01249999995</v>
      </c>
      <c r="P14" s="99">
        <v>0</v>
      </c>
      <c r="Q14" s="99">
        <f>5650+274+100+565</f>
        <v>6589</v>
      </c>
      <c r="R14" s="99">
        <v>2132</v>
      </c>
      <c r="S14" s="99">
        <f>73089</f>
        <v>73089</v>
      </c>
      <c r="T14" s="99">
        <f>O14+Q14+R14+S14</f>
        <v>644590.01249999995</v>
      </c>
      <c r="U14" s="99">
        <f>T14/F14</f>
        <v>128918.00249999999</v>
      </c>
      <c r="V14" s="99">
        <f>73089</f>
        <v>73089</v>
      </c>
    </row>
    <row r="15" spans="1:22">
      <c r="A15" s="102"/>
      <c r="B15" s="102"/>
      <c r="C15" s="102"/>
      <c r="D15" s="18"/>
      <c r="E15" s="18"/>
      <c r="F15" s="19"/>
      <c r="G15" s="19"/>
      <c r="H15" s="19"/>
      <c r="I15" s="105"/>
      <c r="J15" s="105">
        <f t="shared" si="0"/>
        <v>0</v>
      </c>
      <c r="K15" s="105"/>
      <c r="L15" s="105"/>
      <c r="M15" s="105"/>
      <c r="N15" s="105"/>
      <c r="O15" s="105"/>
      <c r="P15" s="105"/>
      <c r="Q15" s="105"/>
      <c r="R15" s="105"/>
      <c r="S15" s="105"/>
      <c r="T15" s="105"/>
      <c r="U15" s="105"/>
      <c r="V15" s="105"/>
    </row>
    <row r="16" spans="1:22">
      <c r="A16" s="104">
        <v>4</v>
      </c>
      <c r="B16" s="103"/>
      <c r="C16" s="103"/>
      <c r="D16" s="24"/>
      <c r="E16" s="24"/>
      <c r="F16" s="30"/>
      <c r="G16" s="30"/>
      <c r="H16" s="30"/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</row>
    <row r="17" spans="1:22">
      <c r="A17" s="104"/>
      <c r="B17" s="103"/>
      <c r="C17" s="103"/>
      <c r="D17" s="24"/>
      <c r="E17" s="24"/>
      <c r="F17" s="30"/>
      <c r="G17" s="30"/>
      <c r="H17" s="30"/>
      <c r="I17" s="26"/>
      <c r="J17" s="26">
        <f t="shared" si="0"/>
        <v>0</v>
      </c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</row>
    <row r="18" spans="1:22">
      <c r="A18" s="104"/>
      <c r="B18" s="103"/>
      <c r="C18" s="103"/>
      <c r="D18" s="24"/>
      <c r="E18" s="24"/>
      <c r="F18" s="30"/>
      <c r="G18" s="30"/>
      <c r="H18" s="30"/>
      <c r="I18" s="26"/>
      <c r="J18" s="26">
        <f t="shared" si="0"/>
        <v>0</v>
      </c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</row>
    <row r="19" spans="1:22">
      <c r="A19" s="104"/>
      <c r="B19" s="103"/>
      <c r="C19" s="103"/>
      <c r="D19" s="24"/>
      <c r="E19" s="24"/>
      <c r="F19" s="30"/>
      <c r="G19" s="30"/>
      <c r="H19" s="30"/>
      <c r="I19" s="26"/>
      <c r="J19" s="26">
        <f t="shared" si="0"/>
        <v>0</v>
      </c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</row>
    <row r="20" spans="1:22">
      <c r="A20" s="104"/>
      <c r="B20" s="103"/>
      <c r="C20" s="103"/>
      <c r="D20" s="24"/>
      <c r="E20" s="24"/>
      <c r="F20" s="30"/>
      <c r="G20" s="30"/>
      <c r="H20" s="30"/>
      <c r="I20" s="26"/>
      <c r="J20" s="26">
        <f t="shared" si="0"/>
        <v>0</v>
      </c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</row>
    <row r="21" spans="1:22">
      <c r="A21" s="104"/>
      <c r="B21" s="103"/>
      <c r="C21" s="103"/>
      <c r="D21" s="24"/>
      <c r="E21" s="24"/>
      <c r="F21" s="30"/>
      <c r="G21" s="30"/>
      <c r="H21" s="30"/>
      <c r="I21" s="26"/>
      <c r="J21" s="26">
        <f t="shared" si="0"/>
        <v>0</v>
      </c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</row>
    <row r="22" spans="1:22">
      <c r="A22" s="104"/>
      <c r="B22" s="103"/>
      <c r="C22" s="103"/>
      <c r="D22" s="24"/>
      <c r="E22" s="24"/>
      <c r="F22" s="30"/>
      <c r="G22" s="30"/>
      <c r="H22" s="30"/>
      <c r="I22" s="26"/>
      <c r="J22" s="26">
        <f t="shared" ref="J22:J26" si="3">I22*F21</f>
        <v>0</v>
      </c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</row>
    <row r="23" spans="1:22">
      <c r="A23" s="104"/>
      <c r="B23" s="103"/>
      <c r="C23" s="103"/>
      <c r="D23" s="24"/>
      <c r="E23" s="24"/>
      <c r="F23" s="30"/>
      <c r="G23" s="30"/>
      <c r="H23" s="30"/>
      <c r="I23" s="26"/>
      <c r="J23" s="26">
        <f t="shared" si="3"/>
        <v>0</v>
      </c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</row>
    <row r="24" spans="1:22">
      <c r="A24" s="104"/>
      <c r="B24" s="103"/>
      <c r="C24" s="103"/>
      <c r="D24" s="24"/>
      <c r="E24" s="24"/>
      <c r="F24" s="30"/>
      <c r="G24" s="30"/>
      <c r="H24" s="30"/>
      <c r="I24" s="26"/>
      <c r="J24" s="26">
        <f t="shared" si="3"/>
        <v>0</v>
      </c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</row>
    <row r="25" spans="1:22">
      <c r="A25" s="104"/>
      <c r="B25" s="103"/>
      <c r="C25" s="103"/>
      <c r="D25" s="24"/>
      <c r="E25" s="24"/>
      <c r="F25" s="30"/>
      <c r="G25" s="30"/>
      <c r="H25" s="30"/>
      <c r="I25" s="26"/>
      <c r="J25" s="26">
        <f t="shared" si="3"/>
        <v>0</v>
      </c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</row>
    <row r="26" spans="1:22">
      <c r="A26" s="104"/>
      <c r="B26" s="103"/>
      <c r="C26" s="103"/>
      <c r="D26" s="24"/>
      <c r="E26" s="24"/>
      <c r="F26" s="30"/>
      <c r="G26" s="30"/>
      <c r="H26" s="30"/>
      <c r="I26" s="26"/>
      <c r="J26" s="26">
        <f t="shared" si="3"/>
        <v>0</v>
      </c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</row>
    <row r="27" spans="1:22">
      <c r="A27" s="104"/>
      <c r="B27" s="104"/>
      <c r="C27" s="104"/>
      <c r="D27" s="3"/>
      <c r="E27" s="3"/>
      <c r="F27" s="14"/>
      <c r="G27" s="14"/>
      <c r="H27" s="14"/>
      <c r="I27" s="21"/>
      <c r="J27" s="21"/>
      <c r="K27" s="21"/>
      <c r="L27" s="21"/>
      <c r="M27" s="21"/>
      <c r="N27" s="21"/>
      <c r="O27" s="21"/>
      <c r="P27" s="21"/>
      <c r="Q27" s="21"/>
      <c r="R27" s="21"/>
      <c r="S27" s="21"/>
      <c r="T27" s="21"/>
      <c r="U27" s="21"/>
      <c r="V27" s="21"/>
    </row>
    <row r="28" spans="1:22">
      <c r="A28" s="104"/>
      <c r="B28" s="104"/>
      <c r="C28" s="104"/>
      <c r="D28" s="3"/>
      <c r="E28" s="3"/>
      <c r="F28" s="14"/>
      <c r="G28" s="14"/>
      <c r="H28" s="14"/>
      <c r="I28" s="21"/>
      <c r="J28" s="21"/>
      <c r="K28" s="21"/>
      <c r="L28" s="21"/>
      <c r="M28" s="21"/>
      <c r="N28" s="21"/>
      <c r="O28" s="21"/>
      <c r="P28" s="21"/>
      <c r="Q28" s="21"/>
      <c r="R28" s="21"/>
      <c r="S28" s="21"/>
      <c r="T28" s="21"/>
      <c r="U28" s="21"/>
      <c r="V28" s="21"/>
    </row>
    <row r="29" spans="1:22">
      <c r="A29" s="104"/>
      <c r="B29" s="104"/>
      <c r="C29" s="104"/>
      <c r="D29" s="3"/>
      <c r="E29" s="3"/>
      <c r="F29" s="14"/>
      <c r="G29" s="14"/>
      <c r="H29" s="14"/>
      <c r="I29" s="21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</row>
    <row r="30" spans="1:22">
      <c r="A30" s="104"/>
      <c r="B30" s="104"/>
      <c r="C30" s="104"/>
      <c r="D30" s="3"/>
      <c r="E30" s="3"/>
      <c r="F30" s="14"/>
      <c r="G30" s="14"/>
      <c r="H30" s="14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</row>
    <row r="31" spans="1:22">
      <c r="A31" s="104"/>
      <c r="B31" s="104"/>
      <c r="C31" s="104"/>
      <c r="D31" s="3"/>
      <c r="E31" s="3"/>
      <c r="F31" s="14"/>
      <c r="G31" s="14"/>
      <c r="H31" s="14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</row>
    <row r="32" spans="1:22">
      <c r="A32" s="104"/>
      <c r="B32" s="104"/>
      <c r="C32" s="104"/>
      <c r="D32" s="3"/>
      <c r="E32" s="3"/>
      <c r="F32" s="14"/>
      <c r="G32" s="14"/>
      <c r="H32" s="14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</row>
    <row r="33" spans="1:22">
      <c r="A33" s="104"/>
      <c r="B33" s="104"/>
      <c r="C33" s="104"/>
      <c r="D33" s="3"/>
      <c r="E33" s="3"/>
      <c r="F33" s="14"/>
      <c r="G33" s="14"/>
      <c r="H33" s="14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</row>
    <row r="34" spans="1:22">
      <c r="A34" s="104"/>
      <c r="B34" s="104"/>
      <c r="C34" s="104"/>
      <c r="D34" s="3"/>
      <c r="E34" s="3"/>
      <c r="F34" s="14"/>
      <c r="G34" s="14"/>
      <c r="H34" s="14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</row>
  </sheetData>
  <mergeCells count="22">
    <mergeCell ref="V5:V6"/>
    <mergeCell ref="E11:E12"/>
    <mergeCell ref="C11:C12"/>
    <mergeCell ref="B11:B12"/>
    <mergeCell ref="I5:I6"/>
    <mergeCell ref="O5:O6"/>
    <mergeCell ref="A11:A12"/>
    <mergeCell ref="A2:U3"/>
    <mergeCell ref="J5:J6"/>
    <mergeCell ref="T5:T6"/>
    <mergeCell ref="B8:B9"/>
    <mergeCell ref="C8:C9"/>
    <mergeCell ref="E8:E9"/>
    <mergeCell ref="A8:A9"/>
    <mergeCell ref="L5:L6"/>
    <mergeCell ref="A5:A6"/>
    <mergeCell ref="B5:B6"/>
    <mergeCell ref="C5:C6"/>
    <mergeCell ref="D5:D6"/>
    <mergeCell ref="E5:E6"/>
    <mergeCell ref="F5:F6"/>
    <mergeCell ref="S5:S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activeCell="A3" sqref="A3"/>
    </sheetView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PURCHASE </vt:lpstr>
      <vt:lpstr>IMPORT 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2024-01-05T08:57:11Z</dcterms:modified>
</cp:coreProperties>
</file>