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8"/>
  </bookViews>
  <sheets>
    <sheet name="TV TODAY " sheetId="1" r:id="rId1"/>
    <sheet name="7 STAR TV" sheetId="2" r:id="rId2"/>
    <sheet name="BAGMATI " sheetId="3" r:id="rId3"/>
    <sheet name="SUJAY" sheetId="4" r:id="rId4"/>
    <sheet name="KU" sheetId="5" r:id="rId5"/>
    <sheet name="NEPAL NEWS" sheetId="6" r:id="rId6"/>
    <sheet name="simul" sheetId="7" r:id="rId7"/>
    <sheet name="black swan" sheetId="8" r:id="rId8"/>
    <sheet name="Dhulikhel" sheetId="9" r:id="rId9"/>
    <sheet name="Sheet4" sheetId="10" r:id="rId10"/>
  </sheets>
  <calcPr calcId="124519"/>
</workbook>
</file>

<file path=xl/calcChain.xml><?xml version="1.0" encoding="utf-8"?>
<calcChain xmlns="http://schemas.openxmlformats.org/spreadsheetml/2006/main">
  <c r="P2" i="5"/>
  <c r="I24" i="7"/>
  <c r="J47"/>
  <c r="J46"/>
  <c r="I46"/>
  <c r="H46"/>
  <c r="G46"/>
  <c r="I20"/>
  <c r="I15"/>
  <c r="I14"/>
  <c r="I13"/>
  <c r="I12"/>
  <c r="I11"/>
  <c r="I9"/>
  <c r="I10" s="1"/>
  <c r="I8"/>
  <c r="I7"/>
  <c r="I8" i="8" l="1"/>
  <c r="I20" i="5" l="1"/>
  <c r="I21" s="1"/>
  <c r="I22" s="1"/>
  <c r="I23" s="1"/>
  <c r="I24" s="1"/>
  <c r="I14" i="9" l="1"/>
  <c r="I15" s="1"/>
  <c r="I16" s="1"/>
  <c r="I17" s="1"/>
  <c r="Q14" i="5" l="1"/>
  <c r="O14"/>
  <c r="Q9"/>
  <c r="O9"/>
  <c r="R19" i="9"/>
  <c r="P19"/>
  <c r="I8"/>
  <c r="I9" s="1"/>
  <c r="I10" s="1"/>
  <c r="I11" s="1"/>
  <c r="I12" s="1"/>
  <c r="I13" s="1"/>
  <c r="I7"/>
  <c r="I8" i="6" l="1"/>
  <c r="I7"/>
  <c r="I7" i="8"/>
  <c r="I8" i="3"/>
  <c r="I7"/>
  <c r="I25" i="7" l="1"/>
  <c r="I26" s="1"/>
  <c r="I27" s="1"/>
  <c r="I28" s="1"/>
  <c r="I29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H18"/>
  <c r="G18"/>
  <c r="I7" i="5"/>
  <c r="I8" s="1"/>
  <c r="I9" s="1"/>
  <c r="I10" s="1"/>
  <c r="I11" s="1"/>
  <c r="I12" s="1"/>
  <c r="I13" s="1"/>
  <c r="I14" s="1"/>
  <c r="I15" s="1"/>
  <c r="I16" s="1"/>
  <c r="I17" s="1"/>
  <c r="I18" s="1"/>
  <c r="I19" s="1"/>
  <c r="I8" i="4"/>
  <c r="I9"/>
  <c r="I10" s="1"/>
  <c r="I11" s="1"/>
  <c r="I12" s="1"/>
  <c r="I13" s="1"/>
  <c r="I14" s="1"/>
  <c r="I7"/>
  <c r="I18" i="7" l="1"/>
</calcChain>
</file>

<file path=xl/sharedStrings.xml><?xml version="1.0" encoding="utf-8"?>
<sst xmlns="http://schemas.openxmlformats.org/spreadsheetml/2006/main" count="424" uniqueCount="210">
  <si>
    <t>TV TODAY PEPSICOLA</t>
  </si>
  <si>
    <t>S NO</t>
  </si>
  <si>
    <t>MITTI</t>
  </si>
  <si>
    <t>DATE</t>
  </si>
  <si>
    <t>PARTICULAR</t>
  </si>
  <si>
    <t>BILL NO</t>
  </si>
  <si>
    <t xml:space="preserve">AMOUNT </t>
  </si>
  <si>
    <t>AMOUNT</t>
  </si>
  <si>
    <t>BALANCE</t>
  </si>
  <si>
    <t>REMARKS</t>
  </si>
  <si>
    <t>07.07.23</t>
  </si>
  <si>
    <t>CONTROLLER KT-KD 50X</t>
  </si>
  <si>
    <t xml:space="preserve">42"RACK VIVANCO </t>
  </si>
  <si>
    <t>QTY</t>
  </si>
  <si>
    <t>PAYMENT FOR CONTROLLER RECEIVED IN SIMULCAST</t>
  </si>
  <si>
    <t>PTZ CONTROLLER KC 20 N</t>
  </si>
  <si>
    <t xml:space="preserve">USB/ TYPE-C 2 in 1 VIDEO CAPTURE CARD grey </t>
  </si>
  <si>
    <t xml:space="preserve">PTZ CONFERENCE CAMERA </t>
  </si>
  <si>
    <t>tally System 1 box+4 lamps</t>
  </si>
  <si>
    <t>JOT STICK CONTROLLER VMIX CONTROLLER</t>
  </si>
  <si>
    <t>JOT STICK CONTROLLER VMIX CONTROLLER KD 50X</t>
  </si>
  <si>
    <t>HDMI BONDING VIDEO CONVERTER</t>
  </si>
  <si>
    <t xml:space="preserve">LED 60 LIGHT </t>
  </si>
  <si>
    <t>HDD 2TB (OLD)</t>
  </si>
  <si>
    <t>20.09.23</t>
  </si>
  <si>
    <t>12.09.23</t>
  </si>
  <si>
    <t xml:space="preserve">BAGMATI TV </t>
  </si>
  <si>
    <t>SIMUL SALE</t>
  </si>
  <si>
    <t>11.05.80</t>
  </si>
  <si>
    <t xml:space="preserve">RIDDHI SIDDHI MULTIPURPOSE </t>
  </si>
  <si>
    <t>01.04.80</t>
  </si>
  <si>
    <t>22.06.23</t>
  </si>
  <si>
    <t xml:space="preserve">PAYMENT </t>
  </si>
  <si>
    <t xml:space="preserve">PAYMENT  ONLINE </t>
  </si>
  <si>
    <t>YOLO LIV</t>
  </si>
  <si>
    <t>SDI TO HDMI CONVERTER DTECH</t>
  </si>
  <si>
    <t>15.09.23</t>
  </si>
  <si>
    <t>4K *2K HDMI SPLITTER</t>
  </si>
  <si>
    <t>25.09.23</t>
  </si>
  <si>
    <t>ONLINE IN SIMUL</t>
  </si>
  <si>
    <t>26.09.23</t>
  </si>
  <si>
    <t>CASH DEPOSITED IN SIMUL</t>
  </si>
  <si>
    <t>KATHMANDU UNIVERSITY</t>
  </si>
  <si>
    <t>43"LED ANDROID TV</t>
  </si>
  <si>
    <t>MOVING TV WALL MOUNT</t>
  </si>
  <si>
    <t>17.03.80</t>
  </si>
  <si>
    <t>13.07.23</t>
  </si>
  <si>
    <t xml:space="preserve">TDS </t>
  </si>
  <si>
    <t>DELEVERED</t>
  </si>
  <si>
    <t xml:space="preserve">NEPAL NEWS BANK </t>
  </si>
  <si>
    <t>28.06.23</t>
  </si>
  <si>
    <t xml:space="preserve">PARTIAL PAYMENT </t>
  </si>
  <si>
    <t>3.10.23</t>
  </si>
  <si>
    <t>SIMULCAST TECHNOLOGIES PVT LTD</t>
  </si>
  <si>
    <t>3.03.23</t>
  </si>
  <si>
    <t>LOAN TO SIMUL</t>
  </si>
  <si>
    <t>04.03.23</t>
  </si>
  <si>
    <t>5.03.23</t>
  </si>
  <si>
    <t>09.03.23</t>
  </si>
  <si>
    <t>22.03.23</t>
  </si>
  <si>
    <t>LOAN RETURN BY SIMUL</t>
  </si>
  <si>
    <t>17.05.23</t>
  </si>
  <si>
    <t>FOR CAPITAL ARRANGEMENT OF AV BIONICS GIVEN BY BIPIN SIR</t>
  </si>
  <si>
    <t>18.05.23</t>
  </si>
  <si>
    <t>FOR CAPITAL ARRANGEMENT OF AV BIONICS GIVEN TO NANDITA</t>
  </si>
  <si>
    <t>13.06.23</t>
  </si>
  <si>
    <t xml:space="preserve">LOAN TO SIMUL BY BIPIN </t>
  </si>
  <si>
    <t>19.06.23</t>
  </si>
  <si>
    <t xml:space="preserve">LOAN RECEIVED AV </t>
  </si>
  <si>
    <t>LOAN RETURN TO SIMUL BY AV</t>
  </si>
  <si>
    <t>GIVEN TO PRAMOD AGRAHARI BEHALF OF BIPIN SIR</t>
  </si>
  <si>
    <t>10.07.23</t>
  </si>
  <si>
    <t>28.02.80</t>
  </si>
  <si>
    <t>11.06.23</t>
  </si>
  <si>
    <t xml:space="preserve">sales bill </t>
  </si>
  <si>
    <t>05.03.80</t>
  </si>
  <si>
    <t>20.06.23</t>
  </si>
  <si>
    <t>10.03.80</t>
  </si>
  <si>
    <t>25.06.23</t>
  </si>
  <si>
    <t>22.03.80</t>
  </si>
  <si>
    <t>CHQ NO</t>
  </si>
  <si>
    <t>FOR DHULIKHEL PROJECT BY BIPIN SIR</t>
  </si>
  <si>
    <t>26.07.23</t>
  </si>
  <si>
    <t>LOAN GIVEN TO SIMUL</t>
  </si>
  <si>
    <t>23.07.23</t>
  </si>
  <si>
    <t>LOAN RETURNED BY SIMUL</t>
  </si>
  <si>
    <t>14.09.23</t>
  </si>
  <si>
    <t>PAYMENT RECEIVE</t>
  </si>
  <si>
    <t>25.04.80</t>
  </si>
  <si>
    <t>28.05.80</t>
  </si>
  <si>
    <t>03.06.80</t>
  </si>
  <si>
    <t>08.06.80</t>
  </si>
  <si>
    <t>09.06.80</t>
  </si>
  <si>
    <t>15.05.80</t>
  </si>
  <si>
    <t>01.09.23</t>
  </si>
  <si>
    <t>AMOUNT  REC</t>
  </si>
  <si>
    <t>AMOUNT PAID</t>
  </si>
  <si>
    <t>RECIVED BY BIPIN (AV)</t>
  </si>
  <si>
    <t>31.08.23</t>
  </si>
  <si>
    <t>AV TO SIMUL</t>
  </si>
  <si>
    <t xml:space="preserve">PAYMENT FOR MOHAN </t>
  </si>
  <si>
    <t>GIVEN TO SIMUL BY AV</t>
  </si>
  <si>
    <t>AMOUNT TAKEN FROM SIMUL</t>
  </si>
  <si>
    <t>for payment to balkumari electronics</t>
  </si>
  <si>
    <t>sales</t>
  </si>
  <si>
    <t>STEREO CABLE 3.5 MM MALE TO 3.5MM FEMALE 3METER and BY VO1 MIC</t>
  </si>
  <si>
    <t>16.06.2080</t>
  </si>
  <si>
    <t>H008</t>
  </si>
  <si>
    <t xml:space="preserve">USB 2.0 CABLE 5 M </t>
  </si>
  <si>
    <t>CABLE MANAGER</t>
  </si>
  <si>
    <t>STEPLIZOR -UPS</t>
  </si>
  <si>
    <t>OLD</t>
  </si>
  <si>
    <t>SIMUL PURCAHSE AND SALE TO 7 STAR</t>
  </si>
  <si>
    <t>16.10.23</t>
  </si>
  <si>
    <t>sales bill is 22800 but actual sale is 27000</t>
  </si>
  <si>
    <t xml:space="preserve">7 STAR TV       suresh kafle             </t>
  </si>
  <si>
    <t>18.10.23</t>
  </si>
  <si>
    <t>10.11.23</t>
  </si>
  <si>
    <t>Black swan pvt ltd (santosh singh)</t>
  </si>
  <si>
    <t>20.10.23</t>
  </si>
  <si>
    <t>03.07.80</t>
  </si>
  <si>
    <t>1RU 3G-SDI 16 Channel multiviewer &amp; Switcher</t>
  </si>
  <si>
    <t>receives payment</t>
  </si>
  <si>
    <t xml:space="preserve">cash </t>
  </si>
  <si>
    <t xml:space="preserve">receives payment </t>
  </si>
  <si>
    <t>payment</t>
  </si>
  <si>
    <t>19.10.23</t>
  </si>
  <si>
    <t>26.12.23</t>
  </si>
  <si>
    <t>10.09.80</t>
  </si>
  <si>
    <t>29.06.80</t>
  </si>
  <si>
    <t>10.04.80</t>
  </si>
  <si>
    <t>07.04.80</t>
  </si>
  <si>
    <t>14.05.80</t>
  </si>
  <si>
    <t xml:space="preserve">sales </t>
  </si>
  <si>
    <t>yolo liv dim movies</t>
  </si>
  <si>
    <t>sales bill is 30510 but actual sales is 48590 dhulikhel hospital</t>
  </si>
  <si>
    <t xml:space="preserve">sale to black swan </t>
  </si>
  <si>
    <t>02.07.23</t>
  </si>
  <si>
    <t>PAYMENT receives</t>
  </si>
  <si>
    <t>payment receives</t>
  </si>
  <si>
    <t>5.10.23</t>
  </si>
  <si>
    <t>06.10.23</t>
  </si>
  <si>
    <t>8.10.23</t>
  </si>
  <si>
    <t>tds deduct</t>
  </si>
  <si>
    <t>28.03.80</t>
  </si>
  <si>
    <t>18.06.80</t>
  </si>
  <si>
    <t>19.06.80</t>
  </si>
  <si>
    <t>21.06.80</t>
  </si>
  <si>
    <t>02.07.80</t>
  </si>
  <si>
    <t>01.07.80</t>
  </si>
  <si>
    <t>24.07.80</t>
  </si>
  <si>
    <t>13.03.80</t>
  </si>
  <si>
    <t>date</t>
  </si>
  <si>
    <t>mitti</t>
  </si>
  <si>
    <t xml:space="preserve">purchase </t>
  </si>
  <si>
    <t xml:space="preserve">amount </t>
  </si>
  <si>
    <t>balance</t>
  </si>
  <si>
    <t>DHULIKHEL HOSPITAL</t>
  </si>
  <si>
    <t>19.12.79</t>
  </si>
  <si>
    <t>05.03.23</t>
  </si>
  <si>
    <t>17.03.23</t>
  </si>
  <si>
    <t xml:space="preserve">date </t>
  </si>
  <si>
    <t>purchase</t>
  </si>
  <si>
    <t>amount</t>
  </si>
  <si>
    <t>commission shushil</t>
  </si>
  <si>
    <t>16.07.23</t>
  </si>
  <si>
    <t>tt</t>
  </si>
  <si>
    <t>07.03.23</t>
  </si>
  <si>
    <t>bank charges</t>
  </si>
  <si>
    <t>15.03.23</t>
  </si>
  <si>
    <t>custom</t>
  </si>
  <si>
    <t>18.03.23</t>
  </si>
  <si>
    <t>19.03.23</t>
  </si>
  <si>
    <t>21.03.23</t>
  </si>
  <si>
    <t>27.03.23</t>
  </si>
  <si>
    <t>09.04.23</t>
  </si>
  <si>
    <t>12.04.23</t>
  </si>
  <si>
    <t>receives</t>
  </si>
  <si>
    <t>balkumari</t>
  </si>
  <si>
    <t>28.09.23</t>
  </si>
  <si>
    <t>sales bill is 146900 but actual sale is 175000 yolo liv</t>
  </si>
  <si>
    <t>21.10.23</t>
  </si>
  <si>
    <t>04.07.80</t>
  </si>
  <si>
    <t>06.07.80</t>
  </si>
  <si>
    <t>28.11.23</t>
  </si>
  <si>
    <t>12.08.80</t>
  </si>
  <si>
    <t>28.12.23</t>
  </si>
  <si>
    <t>12.09.80</t>
  </si>
  <si>
    <t>pAYMENT RECEIVE</t>
  </si>
  <si>
    <t>advance for purchase</t>
  </si>
  <si>
    <t xml:space="preserve">balkumari </t>
  </si>
  <si>
    <t>4.12.23</t>
  </si>
  <si>
    <t>18.08.80</t>
  </si>
  <si>
    <t>tds</t>
  </si>
  <si>
    <t>28.06.80</t>
  </si>
  <si>
    <t>02.01.24</t>
  </si>
  <si>
    <t>simule sale</t>
  </si>
  <si>
    <t>15.05.23</t>
  </si>
  <si>
    <t>04.12.23</t>
  </si>
  <si>
    <t>25.11.23</t>
  </si>
  <si>
    <t>09.08.80</t>
  </si>
  <si>
    <t>Lane square</t>
  </si>
  <si>
    <t xml:space="preserve">india tt </t>
  </si>
  <si>
    <t>04.01.24</t>
  </si>
  <si>
    <t>19.09.80</t>
  </si>
  <si>
    <t>no</t>
  </si>
  <si>
    <t>79-80 year bill</t>
  </si>
  <si>
    <t>22.09.80</t>
  </si>
  <si>
    <t>07.01.24</t>
  </si>
  <si>
    <t xml:space="preserve">bipin sir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</si>
</sst>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.0_);_(* \(#,##0.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7" xfId="0" applyBorder="1"/>
    <xf numFmtId="0" fontId="0" fillId="0" borderId="8" xfId="0" applyBorder="1"/>
    <xf numFmtId="0" fontId="2" fillId="0" borderId="10" xfId="0" applyFont="1" applyBorder="1"/>
    <xf numFmtId="0" fontId="0" fillId="0" borderId="11" xfId="0" applyBorder="1"/>
    <xf numFmtId="0" fontId="4" fillId="0" borderId="9" xfId="0" applyFont="1" applyBorder="1"/>
    <xf numFmtId="43" fontId="0" fillId="0" borderId="0" xfId="1" applyFont="1"/>
    <xf numFmtId="43" fontId="2" fillId="0" borderId="10" xfId="1" applyFont="1" applyBorder="1"/>
    <xf numFmtId="43" fontId="0" fillId="0" borderId="8" xfId="1" applyFont="1" applyBorder="1"/>
    <xf numFmtId="43" fontId="0" fillId="0" borderId="7" xfId="1" applyFont="1" applyBorder="1"/>
    <xf numFmtId="164" fontId="0" fillId="0" borderId="7" xfId="1" applyNumberFormat="1" applyFont="1" applyBorder="1"/>
    <xf numFmtId="0" fontId="0" fillId="0" borderId="7" xfId="0" applyBorder="1" applyAlignment="1">
      <alignment horizontal="center" vertical="center"/>
    </xf>
    <xf numFmtId="164" fontId="0" fillId="0" borderId="0" xfId="1" applyNumberFormat="1" applyFont="1"/>
    <xf numFmtId="164" fontId="0" fillId="0" borderId="8" xfId="1" applyNumberFormat="1" applyFont="1" applyBorder="1"/>
    <xf numFmtId="164" fontId="0" fillId="2" borderId="7" xfId="1" applyNumberFormat="1" applyFont="1" applyFill="1" applyBorder="1"/>
    <xf numFmtId="43" fontId="0" fillId="2" borderId="7" xfId="1" applyFont="1" applyFill="1" applyBorder="1"/>
    <xf numFmtId="164" fontId="2" fillId="2" borderId="7" xfId="1" applyNumberFormat="1" applyFont="1" applyFill="1" applyBorder="1"/>
    <xf numFmtId="43" fontId="2" fillId="2" borderId="7" xfId="1" applyFont="1" applyFill="1" applyBorder="1"/>
    <xf numFmtId="0" fontId="0" fillId="2" borderId="7" xfId="0" applyFill="1" applyBorder="1"/>
    <xf numFmtId="164" fontId="0" fillId="3" borderId="7" xfId="1" applyNumberFormat="1" applyFont="1" applyFill="1" applyBorder="1"/>
    <xf numFmtId="0" fontId="0" fillId="3" borderId="7" xfId="0" applyFill="1" applyBorder="1"/>
    <xf numFmtId="0" fontId="5" fillId="0" borderId="7" xfId="0" applyFont="1" applyBorder="1"/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164" fontId="6" fillId="0" borderId="10" xfId="1" applyNumberFormat="1" applyFont="1" applyBorder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left" vertical="top"/>
    </xf>
    <xf numFmtId="43" fontId="2" fillId="0" borderId="13" xfId="1" applyFont="1" applyBorder="1"/>
    <xf numFmtId="0" fontId="0" fillId="0" borderId="14" xfId="0" applyBorder="1"/>
    <xf numFmtId="164" fontId="2" fillId="0" borderId="10" xfId="1" applyNumberFormat="1" applyFont="1" applyBorder="1"/>
    <xf numFmtId="0" fontId="0" fillId="0" borderId="0" xfId="0" applyBorder="1"/>
    <xf numFmtId="0" fontId="0" fillId="0" borderId="15" xfId="0" applyBorder="1"/>
    <xf numFmtId="0" fontId="2" fillId="0" borderId="9" xfId="0" applyFont="1" applyBorder="1"/>
    <xf numFmtId="0" fontId="2" fillId="0" borderId="11" xfId="0" applyFont="1" applyBorder="1"/>
    <xf numFmtId="0" fontId="0" fillId="0" borderId="10" xfId="0" applyBorder="1"/>
    <xf numFmtId="0" fontId="0" fillId="0" borderId="16" xfId="0" applyBorder="1"/>
    <xf numFmtId="0" fontId="0" fillId="0" borderId="9" xfId="0" applyBorder="1"/>
    <xf numFmtId="43" fontId="0" fillId="0" borderId="7" xfId="0" applyNumberForma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H7" sqref="H7"/>
    </sheetView>
  </sheetViews>
  <sheetFormatPr defaultRowHeight="15"/>
  <cols>
    <col min="1" max="1" width="3.7109375" customWidth="1"/>
    <col min="2" max="3" width="8.140625" bestFit="1" customWidth="1"/>
    <col min="4" max="4" width="49" style="23" customWidth="1"/>
    <col min="6" max="6" width="7.85546875" customWidth="1"/>
    <col min="7" max="7" width="11.5703125" style="6" bestFit="1" customWidth="1"/>
    <col min="8" max="8" width="12.5703125" style="6" bestFit="1" customWidth="1"/>
    <col min="9" max="9" width="14.42578125" style="6" customWidth="1"/>
    <col min="10" max="10" width="24.7109375" customWidth="1"/>
  </cols>
  <sheetData>
    <row r="1" spans="1:1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5.75" thickBo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ht="15.75" thickBot="1"/>
    <row r="4" spans="1:13" ht="15.75" thickBot="1">
      <c r="A4" s="5" t="s">
        <v>1</v>
      </c>
      <c r="B4" s="3" t="s">
        <v>2</v>
      </c>
      <c r="C4" s="3" t="s">
        <v>3</v>
      </c>
      <c r="D4" s="24" t="s">
        <v>4</v>
      </c>
      <c r="E4" s="3" t="s">
        <v>5</v>
      </c>
      <c r="F4" s="3" t="s">
        <v>13</v>
      </c>
      <c r="G4" s="7" t="s">
        <v>6</v>
      </c>
      <c r="H4" s="7" t="s">
        <v>7</v>
      </c>
      <c r="I4" s="7" t="s">
        <v>8</v>
      </c>
      <c r="J4" s="3" t="s">
        <v>9</v>
      </c>
      <c r="K4" s="4"/>
    </row>
    <row r="5" spans="1:13">
      <c r="A5" s="2"/>
      <c r="B5" s="2"/>
      <c r="C5" s="2"/>
      <c r="D5" s="25"/>
      <c r="E5" s="2"/>
      <c r="F5" s="2"/>
      <c r="G5" s="8"/>
      <c r="H5" s="8"/>
      <c r="I5" s="8"/>
      <c r="J5" s="2"/>
      <c r="K5" s="2"/>
    </row>
    <row r="6" spans="1:13">
      <c r="A6" s="1"/>
      <c r="B6" s="1"/>
      <c r="C6" s="1" t="s">
        <v>10</v>
      </c>
      <c r="D6" s="22" t="s">
        <v>11</v>
      </c>
      <c r="E6" s="1"/>
      <c r="F6" s="1">
        <v>1</v>
      </c>
      <c r="G6" s="9">
        <v>100000</v>
      </c>
      <c r="H6" s="9"/>
      <c r="I6" s="9"/>
      <c r="J6" s="1" t="s">
        <v>27</v>
      </c>
      <c r="K6" s="1"/>
    </row>
    <row r="7" spans="1:13">
      <c r="A7" s="1"/>
      <c r="B7" s="1"/>
      <c r="C7" s="1" t="s">
        <v>10</v>
      </c>
      <c r="D7" s="22" t="s">
        <v>14</v>
      </c>
      <c r="E7" s="1"/>
      <c r="F7" s="1"/>
      <c r="G7" s="9"/>
      <c r="H7" s="10">
        <v>100000</v>
      </c>
      <c r="I7" s="9"/>
      <c r="J7" s="1" t="s">
        <v>48</v>
      </c>
      <c r="K7" s="1"/>
    </row>
    <row r="8" spans="1:13">
      <c r="A8" s="1"/>
      <c r="B8" s="1"/>
      <c r="C8" s="1"/>
      <c r="D8" s="22" t="s">
        <v>18</v>
      </c>
      <c r="E8" s="1"/>
      <c r="F8" s="1">
        <v>1</v>
      </c>
      <c r="G8" s="9"/>
      <c r="H8" s="9"/>
      <c r="I8" s="9"/>
      <c r="J8" s="1" t="s">
        <v>48</v>
      </c>
      <c r="K8" s="1"/>
    </row>
    <row r="9" spans="1:13">
      <c r="A9" s="1"/>
      <c r="B9" s="1"/>
      <c r="C9" s="1"/>
      <c r="D9" s="22" t="s">
        <v>17</v>
      </c>
      <c r="E9" s="1"/>
      <c r="F9" s="1">
        <v>1</v>
      </c>
      <c r="G9" s="9"/>
      <c r="H9" s="9"/>
      <c r="I9" s="9"/>
      <c r="J9" s="1" t="s">
        <v>48</v>
      </c>
      <c r="K9" s="1"/>
    </row>
    <row r="10" spans="1:13">
      <c r="A10" s="1"/>
      <c r="B10" s="1"/>
      <c r="C10" s="1"/>
      <c r="D10" s="22" t="s">
        <v>15</v>
      </c>
      <c r="E10" s="1"/>
      <c r="F10" s="1">
        <v>1</v>
      </c>
      <c r="G10" s="9"/>
      <c r="H10" s="9"/>
      <c r="I10" s="9"/>
      <c r="J10" s="1" t="s">
        <v>48</v>
      </c>
      <c r="K10" s="1"/>
    </row>
    <row r="11" spans="1:13">
      <c r="A11" s="1"/>
      <c r="B11" s="1"/>
      <c r="C11" s="1"/>
      <c r="D11" s="22" t="s">
        <v>16</v>
      </c>
      <c r="E11" s="1"/>
      <c r="F11" s="1">
        <v>1</v>
      </c>
      <c r="G11" s="9"/>
      <c r="H11" s="9"/>
      <c r="I11" s="9"/>
      <c r="J11" s="1" t="s">
        <v>48</v>
      </c>
      <c r="K11" s="1"/>
    </row>
    <row r="12" spans="1:13">
      <c r="A12" s="1"/>
      <c r="B12" s="1"/>
      <c r="C12" s="1"/>
      <c r="D12" s="22" t="s">
        <v>12</v>
      </c>
      <c r="E12" s="1"/>
      <c r="F12" s="1">
        <v>1</v>
      </c>
      <c r="G12" s="9"/>
      <c r="H12" s="9"/>
      <c r="I12" s="9"/>
      <c r="J12" s="1" t="s">
        <v>48</v>
      </c>
      <c r="K12" s="1"/>
    </row>
    <row r="13" spans="1:13">
      <c r="A13" s="1"/>
      <c r="B13" s="1" t="s">
        <v>106</v>
      </c>
      <c r="C13" s="1" t="s">
        <v>52</v>
      </c>
      <c r="D13" s="22">
        <v>10594</v>
      </c>
      <c r="E13" s="1"/>
      <c r="F13" s="1">
        <v>1</v>
      </c>
      <c r="G13" s="9"/>
      <c r="H13" s="9"/>
      <c r="I13" s="9"/>
      <c r="J13" s="1" t="s">
        <v>48</v>
      </c>
      <c r="K13" s="1"/>
    </row>
    <row r="14" spans="1:13">
      <c r="A14" s="1"/>
      <c r="B14" s="1"/>
      <c r="C14" s="1"/>
      <c r="D14" s="22">
        <v>10503</v>
      </c>
      <c r="E14" s="1"/>
      <c r="F14" s="1">
        <v>1</v>
      </c>
      <c r="G14" s="9"/>
      <c r="H14" s="9"/>
      <c r="I14" s="9"/>
      <c r="J14" s="1" t="s">
        <v>48</v>
      </c>
      <c r="K14" s="1"/>
    </row>
    <row r="15" spans="1:13">
      <c r="A15" s="1"/>
      <c r="B15" s="1"/>
      <c r="C15" s="1"/>
      <c r="D15" s="22">
        <v>10549</v>
      </c>
      <c r="E15" s="1"/>
      <c r="F15" s="1">
        <v>1</v>
      </c>
      <c r="G15" s="9"/>
      <c r="H15" s="9"/>
      <c r="I15" s="9"/>
      <c r="J15" s="1" t="s">
        <v>48</v>
      </c>
      <c r="K15" s="1"/>
    </row>
    <row r="16" spans="1:13">
      <c r="A16" s="1"/>
      <c r="B16" s="1"/>
      <c r="C16" s="1"/>
      <c r="D16" s="22">
        <v>10625</v>
      </c>
      <c r="E16" s="1"/>
      <c r="F16" s="1">
        <v>2</v>
      </c>
      <c r="G16" s="9"/>
      <c r="H16" s="9"/>
      <c r="I16" s="9"/>
      <c r="J16" s="1" t="s">
        <v>48</v>
      </c>
      <c r="K16" s="1"/>
    </row>
    <row r="17" spans="1:11">
      <c r="A17" s="1"/>
      <c r="B17" s="1"/>
      <c r="C17" s="1"/>
      <c r="D17" s="22" t="s">
        <v>107</v>
      </c>
      <c r="E17" s="1"/>
      <c r="F17" s="1">
        <v>5</v>
      </c>
      <c r="G17" s="9"/>
      <c r="H17" s="9"/>
      <c r="I17" s="9"/>
      <c r="J17" s="1" t="s">
        <v>48</v>
      </c>
      <c r="K17" s="1"/>
    </row>
    <row r="18" spans="1:11">
      <c r="A18" s="1"/>
      <c r="B18" s="1"/>
      <c r="C18" s="1"/>
      <c r="D18" s="22" t="s">
        <v>108</v>
      </c>
      <c r="E18" s="1"/>
      <c r="F18" s="1">
        <v>2</v>
      </c>
      <c r="G18" s="9"/>
      <c r="H18" s="9"/>
      <c r="I18" s="9"/>
      <c r="J18" s="1" t="s">
        <v>48</v>
      </c>
      <c r="K18" s="1"/>
    </row>
    <row r="19" spans="1:11">
      <c r="A19" s="1"/>
      <c r="B19" s="1"/>
      <c r="C19" s="1"/>
      <c r="D19" s="22" t="s">
        <v>109</v>
      </c>
      <c r="E19" s="1"/>
      <c r="F19" s="1">
        <v>1</v>
      </c>
      <c r="G19" s="9"/>
      <c r="H19" s="9"/>
      <c r="I19" s="9"/>
      <c r="J19" s="1" t="s">
        <v>48</v>
      </c>
      <c r="K19" s="1" t="s">
        <v>111</v>
      </c>
    </row>
    <row r="20" spans="1:11">
      <c r="A20" s="1"/>
      <c r="B20" s="1"/>
      <c r="C20" s="1"/>
      <c r="D20" s="22" t="s">
        <v>110</v>
      </c>
      <c r="E20" s="1"/>
      <c r="F20" s="1">
        <v>1</v>
      </c>
      <c r="G20" s="9"/>
      <c r="H20" s="9"/>
      <c r="I20" s="9"/>
      <c r="J20" s="1" t="s">
        <v>48</v>
      </c>
      <c r="K20" s="1" t="s">
        <v>111</v>
      </c>
    </row>
    <row r="21" spans="1:11">
      <c r="A21" s="1"/>
      <c r="B21" s="1"/>
      <c r="C21" s="1"/>
      <c r="D21" s="22"/>
      <c r="E21" s="1"/>
      <c r="F21" s="1"/>
      <c r="G21" s="9"/>
      <c r="H21" s="9"/>
      <c r="I21" s="9"/>
      <c r="J21" s="1"/>
      <c r="K21" s="1"/>
    </row>
    <row r="22" spans="1:11">
      <c r="A22" s="1"/>
      <c r="B22" s="1"/>
      <c r="C22" s="1"/>
      <c r="D22" s="22"/>
      <c r="E22" s="1"/>
      <c r="F22" s="1"/>
      <c r="G22" s="9"/>
      <c r="H22" s="9"/>
      <c r="I22" s="9"/>
      <c r="J22" s="1"/>
      <c r="K22" s="1"/>
    </row>
    <row r="23" spans="1:11">
      <c r="A23" s="1"/>
      <c r="B23" s="1"/>
      <c r="C23" s="1"/>
      <c r="D23" s="22"/>
      <c r="E23" s="1"/>
      <c r="F23" s="1"/>
      <c r="G23" s="9"/>
      <c r="H23" s="9"/>
      <c r="I23" s="9"/>
      <c r="J23" s="1"/>
      <c r="K23" s="1"/>
    </row>
    <row r="24" spans="1:11">
      <c r="A24" s="1"/>
      <c r="B24" s="1"/>
      <c r="C24" s="1"/>
      <c r="D24" s="22"/>
      <c r="E24" s="1"/>
      <c r="F24" s="1"/>
      <c r="G24" s="9"/>
      <c r="H24" s="9"/>
      <c r="I24" s="9"/>
      <c r="J24" s="1"/>
      <c r="K24" s="1"/>
    </row>
    <row r="25" spans="1:11">
      <c r="A25" s="1"/>
      <c r="B25" s="1"/>
      <c r="C25" s="1"/>
      <c r="D25" s="22"/>
      <c r="E25" s="1"/>
      <c r="F25" s="1"/>
      <c r="G25" s="9"/>
      <c r="H25" s="9"/>
      <c r="I25" s="9"/>
      <c r="J25" s="1"/>
      <c r="K25" s="1"/>
    </row>
    <row r="26" spans="1:11">
      <c r="A26" s="1"/>
      <c r="B26" s="1"/>
      <c r="C26" s="1"/>
      <c r="D26" s="22"/>
      <c r="E26" s="1"/>
      <c r="F26" s="1"/>
      <c r="G26" s="9"/>
      <c r="H26" s="9"/>
      <c r="I26" s="9"/>
      <c r="J26" s="1"/>
      <c r="K26" s="1"/>
    </row>
    <row r="27" spans="1:11">
      <c r="A27" s="1"/>
      <c r="B27" s="1"/>
      <c r="C27" s="1"/>
      <c r="D27" s="22"/>
      <c r="E27" s="1"/>
      <c r="F27" s="1"/>
      <c r="G27" s="9"/>
      <c r="H27" s="9"/>
      <c r="I27" s="9"/>
      <c r="J27" s="1"/>
      <c r="K27" s="1"/>
    </row>
    <row r="28" spans="1:11">
      <c r="A28" s="1"/>
      <c r="B28" s="1"/>
      <c r="C28" s="1"/>
      <c r="D28" s="22"/>
      <c r="E28" s="1"/>
      <c r="F28" s="1"/>
      <c r="G28" s="9"/>
      <c r="H28" s="9"/>
      <c r="I28" s="9"/>
      <c r="J28" s="1"/>
      <c r="K28" s="1"/>
    </row>
    <row r="29" spans="1:11">
      <c r="A29" s="1"/>
      <c r="B29" s="1"/>
      <c r="C29" s="1"/>
      <c r="D29" s="22"/>
      <c r="E29" s="1"/>
      <c r="F29" s="1"/>
      <c r="G29" s="9"/>
      <c r="H29" s="9"/>
      <c r="I29" s="9"/>
      <c r="J29" s="1"/>
      <c r="K29" s="1"/>
    </row>
    <row r="30" spans="1:11">
      <c r="A30" s="1"/>
      <c r="B30" s="1"/>
      <c r="C30" s="1"/>
      <c r="D30" s="22"/>
      <c r="E30" s="1"/>
      <c r="F30" s="1"/>
      <c r="G30" s="9"/>
      <c r="H30" s="9"/>
      <c r="I30" s="9"/>
      <c r="J30" s="1"/>
      <c r="K30" s="1"/>
    </row>
    <row r="31" spans="1:11">
      <c r="A31" s="1"/>
      <c r="B31" s="1"/>
      <c r="C31" s="1"/>
      <c r="D31" s="22"/>
      <c r="E31" s="1"/>
      <c r="F31" s="1"/>
      <c r="G31" s="9"/>
      <c r="H31" s="9"/>
      <c r="I31" s="9"/>
      <c r="J31" s="1"/>
      <c r="K31" s="1"/>
    </row>
  </sheetData>
  <mergeCells count="1">
    <mergeCell ref="A1:M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D6" sqref="D6"/>
    </sheetView>
  </sheetViews>
  <sheetFormatPr defaultRowHeight="15"/>
  <cols>
    <col min="1" max="1" width="3.7109375" customWidth="1"/>
    <col min="2" max="2" width="6" bestFit="1" customWidth="1"/>
    <col min="3" max="3" width="8.140625" bestFit="1" customWidth="1"/>
    <col min="4" max="4" width="49" customWidth="1"/>
    <col min="6" max="6" width="7.85546875" customWidth="1"/>
    <col min="7" max="7" width="11.5703125" style="6" bestFit="1" customWidth="1"/>
    <col min="8" max="8" width="12.5703125" style="6" bestFit="1" customWidth="1"/>
    <col min="9" max="9" width="9.140625" style="6"/>
    <col min="10" max="10" width="27.28515625" customWidth="1"/>
    <col min="11" max="11" width="37.5703125" customWidth="1"/>
  </cols>
  <sheetData>
    <row r="1" spans="1:13">
      <c r="A1" s="46" t="s">
        <v>115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5.75" thickBo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ht="15.75" thickBot="1"/>
    <row r="4" spans="1:13" ht="15.75" thickBot="1">
      <c r="A4" s="5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13</v>
      </c>
      <c r="G4" s="7" t="s">
        <v>6</v>
      </c>
      <c r="H4" s="7" t="s">
        <v>7</v>
      </c>
      <c r="I4" s="7" t="s">
        <v>8</v>
      </c>
      <c r="J4" s="3" t="s">
        <v>9</v>
      </c>
      <c r="K4" s="4"/>
    </row>
    <row r="5" spans="1:13">
      <c r="A5" s="2"/>
      <c r="B5" s="2"/>
      <c r="C5" s="2"/>
      <c r="D5" s="2"/>
      <c r="E5" s="2"/>
      <c r="F5" s="2"/>
      <c r="G5" s="8"/>
      <c r="H5" s="8"/>
      <c r="I5" s="8"/>
      <c r="J5" s="2"/>
      <c r="K5" s="2"/>
    </row>
    <row r="6" spans="1:13">
      <c r="A6" s="1"/>
      <c r="B6" s="1"/>
      <c r="C6" s="1" t="s">
        <v>25</v>
      </c>
      <c r="D6" s="1" t="s">
        <v>20</v>
      </c>
      <c r="E6" s="1"/>
      <c r="F6" s="1">
        <v>1</v>
      </c>
      <c r="G6" s="9"/>
      <c r="H6" s="9"/>
      <c r="I6" s="9"/>
      <c r="J6" s="1" t="s">
        <v>48</v>
      </c>
      <c r="K6" s="1"/>
    </row>
    <row r="7" spans="1:13">
      <c r="A7" s="1"/>
      <c r="B7" s="1"/>
      <c r="C7" s="1" t="s">
        <v>25</v>
      </c>
      <c r="D7" s="1" t="s">
        <v>21</v>
      </c>
      <c r="E7" s="1"/>
      <c r="F7" s="1">
        <v>1</v>
      </c>
      <c r="G7" s="9"/>
      <c r="H7" s="10"/>
      <c r="I7" s="9"/>
      <c r="J7" s="1" t="s">
        <v>48</v>
      </c>
      <c r="K7" s="1"/>
    </row>
    <row r="8" spans="1:13">
      <c r="A8" s="1"/>
      <c r="B8" s="1"/>
      <c r="C8" s="1" t="s">
        <v>24</v>
      </c>
      <c r="D8" s="1" t="s">
        <v>22</v>
      </c>
      <c r="E8" s="1"/>
      <c r="F8" s="1">
        <v>1</v>
      </c>
      <c r="G8" s="9"/>
      <c r="H8" s="9"/>
      <c r="I8" s="9"/>
      <c r="J8" s="1" t="s">
        <v>48</v>
      </c>
      <c r="K8" s="1" t="s">
        <v>112</v>
      </c>
    </row>
    <row r="9" spans="1:13">
      <c r="A9" s="1"/>
      <c r="B9" s="1"/>
      <c r="C9" s="1" t="s">
        <v>25</v>
      </c>
      <c r="D9" s="1" t="s">
        <v>23</v>
      </c>
      <c r="E9" s="1"/>
      <c r="F9" s="1">
        <v>1</v>
      </c>
      <c r="G9" s="9"/>
      <c r="H9" s="9"/>
      <c r="I9" s="9"/>
      <c r="J9" s="1" t="s">
        <v>48</v>
      </c>
      <c r="K9" s="1"/>
    </row>
    <row r="10" spans="1:13">
      <c r="A10" s="1"/>
      <c r="B10" s="1"/>
      <c r="C10" s="1"/>
      <c r="D10" s="1"/>
      <c r="E10" s="1"/>
      <c r="F10" s="1"/>
      <c r="G10" s="9"/>
      <c r="H10" s="9"/>
      <c r="I10" s="9"/>
      <c r="J10" s="1"/>
      <c r="K10" s="1"/>
    </row>
    <row r="11" spans="1:13">
      <c r="A11" s="1"/>
      <c r="B11" s="1"/>
      <c r="C11" s="1"/>
      <c r="D11" s="1"/>
      <c r="E11" s="1"/>
      <c r="F11" s="1"/>
      <c r="G11" s="9"/>
      <c r="H11" s="9"/>
      <c r="I11" s="9"/>
      <c r="J11" s="1"/>
      <c r="K11" s="1"/>
    </row>
    <row r="12" spans="1:13">
      <c r="A12" s="1"/>
      <c r="B12" s="1"/>
      <c r="C12" s="1"/>
      <c r="D12" s="1"/>
      <c r="E12" s="1"/>
      <c r="F12" s="1"/>
      <c r="G12" s="9"/>
      <c r="H12" s="9"/>
      <c r="I12" s="9"/>
      <c r="J12" s="1"/>
      <c r="K12" s="1"/>
    </row>
    <row r="13" spans="1:13">
      <c r="A13" s="1"/>
      <c r="B13" s="1"/>
      <c r="C13" s="1"/>
      <c r="D13" s="1"/>
      <c r="E13" s="1"/>
      <c r="F13" s="1"/>
      <c r="G13" s="9"/>
      <c r="H13" s="9"/>
      <c r="I13" s="9"/>
      <c r="J13" s="1"/>
      <c r="K13" s="1"/>
    </row>
    <row r="14" spans="1:13">
      <c r="A14" s="1"/>
      <c r="B14" s="1"/>
      <c r="C14" s="1"/>
      <c r="D14" s="1"/>
      <c r="E14" s="1"/>
      <c r="F14" s="1"/>
      <c r="G14" s="9"/>
      <c r="H14" s="9"/>
      <c r="I14" s="9"/>
      <c r="J14" s="1"/>
      <c r="K14" s="1"/>
    </row>
    <row r="15" spans="1:13">
      <c r="A15" s="1"/>
      <c r="B15" s="1"/>
      <c r="C15" s="1"/>
      <c r="D15" s="1"/>
      <c r="E15" s="1"/>
      <c r="F15" s="1"/>
      <c r="G15" s="9"/>
      <c r="H15" s="9"/>
      <c r="I15" s="9"/>
      <c r="J15" s="1"/>
      <c r="K15" s="1"/>
    </row>
    <row r="16" spans="1:13">
      <c r="A16" s="1"/>
      <c r="B16" s="1"/>
      <c r="C16" s="1"/>
      <c r="D16" s="1"/>
      <c r="E16" s="1"/>
      <c r="F16" s="1"/>
      <c r="G16" s="9"/>
      <c r="H16" s="9"/>
      <c r="I16" s="9"/>
      <c r="J16" s="1"/>
      <c r="K16" s="1"/>
    </row>
    <row r="17" spans="1:11">
      <c r="A17" s="1"/>
      <c r="B17" s="1"/>
      <c r="C17" s="1"/>
      <c r="D17" s="1"/>
      <c r="E17" s="1"/>
      <c r="F17" s="1"/>
      <c r="G17" s="9"/>
      <c r="H17" s="9"/>
      <c r="I17" s="9"/>
      <c r="J17" s="1"/>
      <c r="K17" s="1"/>
    </row>
    <row r="18" spans="1:11">
      <c r="A18" s="1"/>
      <c r="B18" s="1"/>
      <c r="C18" s="1"/>
      <c r="D18" s="1"/>
      <c r="E18" s="1"/>
      <c r="F18" s="1"/>
      <c r="G18" s="9"/>
      <c r="H18" s="9"/>
      <c r="I18" s="9"/>
      <c r="J18" s="1"/>
      <c r="K18" s="1"/>
    </row>
    <row r="19" spans="1:11">
      <c r="A19" s="1"/>
      <c r="B19" s="1"/>
      <c r="C19" s="1"/>
      <c r="D19" s="1"/>
      <c r="E19" s="1"/>
      <c r="F19" s="1"/>
      <c r="G19" s="9"/>
      <c r="H19" s="9"/>
      <c r="I19" s="9"/>
      <c r="J19" s="1"/>
      <c r="K19" s="1"/>
    </row>
    <row r="20" spans="1:11">
      <c r="A20" s="1"/>
      <c r="B20" s="1"/>
      <c r="C20" s="1"/>
      <c r="D20" s="1"/>
      <c r="E20" s="1"/>
      <c r="F20" s="1"/>
      <c r="G20" s="9"/>
      <c r="H20" s="9"/>
      <c r="I20" s="9"/>
      <c r="J20" s="1"/>
      <c r="K20" s="1"/>
    </row>
    <row r="21" spans="1:11">
      <c r="A21" s="1"/>
      <c r="B21" s="1"/>
      <c r="C21" s="1"/>
      <c r="D21" s="1"/>
      <c r="E21" s="1"/>
      <c r="F21" s="1"/>
      <c r="G21" s="9"/>
      <c r="H21" s="9"/>
      <c r="I21" s="9"/>
      <c r="J21" s="1"/>
      <c r="K21" s="1"/>
    </row>
    <row r="22" spans="1:11">
      <c r="A22" s="1"/>
      <c r="B22" s="1"/>
      <c r="C22" s="1"/>
      <c r="D22" s="1"/>
      <c r="E22" s="1"/>
      <c r="F22" s="1"/>
      <c r="G22" s="9"/>
      <c r="H22" s="9"/>
      <c r="I22" s="9"/>
      <c r="J22" s="1"/>
      <c r="K22" s="1"/>
    </row>
    <row r="23" spans="1:11">
      <c r="A23" s="1"/>
      <c r="B23" s="1"/>
      <c r="C23" s="1"/>
      <c r="D23" s="1"/>
      <c r="E23" s="1"/>
      <c r="F23" s="1"/>
      <c r="G23" s="9"/>
      <c r="H23" s="9"/>
      <c r="I23" s="9"/>
      <c r="J23" s="1"/>
      <c r="K23" s="1"/>
    </row>
    <row r="24" spans="1:11">
      <c r="A24" s="1"/>
      <c r="B24" s="1"/>
      <c r="C24" s="1"/>
      <c r="D24" s="1"/>
      <c r="E24" s="1"/>
      <c r="F24" s="1"/>
      <c r="G24" s="9"/>
      <c r="H24" s="9"/>
      <c r="I24" s="9"/>
      <c r="J24" s="1"/>
      <c r="K24" s="1"/>
    </row>
    <row r="25" spans="1:11">
      <c r="A25" s="1"/>
      <c r="B25" s="1"/>
      <c r="C25" s="1"/>
      <c r="D25" s="1"/>
      <c r="E25" s="1"/>
      <c r="F25" s="1"/>
      <c r="G25" s="9"/>
      <c r="H25" s="9"/>
      <c r="I25" s="9"/>
      <c r="J25" s="1"/>
      <c r="K25" s="1"/>
    </row>
    <row r="26" spans="1:11">
      <c r="A26" s="1"/>
      <c r="B26" s="1"/>
      <c r="C26" s="1"/>
      <c r="D26" s="1"/>
      <c r="E26" s="1"/>
      <c r="F26" s="1"/>
      <c r="G26" s="9"/>
      <c r="H26" s="9"/>
      <c r="I26" s="9"/>
      <c r="J26" s="1"/>
      <c r="K26" s="1"/>
    </row>
    <row r="27" spans="1:11">
      <c r="A27" s="1"/>
      <c r="B27" s="1"/>
      <c r="C27" s="1"/>
      <c r="D27" s="1"/>
      <c r="E27" s="1"/>
      <c r="F27" s="1"/>
      <c r="G27" s="9"/>
      <c r="H27" s="9"/>
      <c r="I27" s="9"/>
      <c r="J27" s="1"/>
      <c r="K27" s="1"/>
    </row>
    <row r="28" spans="1:11">
      <c r="A28" s="1"/>
      <c r="B28" s="1"/>
      <c r="C28" s="1"/>
      <c r="D28" s="1"/>
      <c r="E28" s="1"/>
      <c r="F28" s="1"/>
      <c r="G28" s="9"/>
      <c r="H28" s="9"/>
      <c r="I28" s="9"/>
      <c r="J28" s="1"/>
      <c r="K28" s="1"/>
    </row>
    <row r="29" spans="1:11">
      <c r="A29" s="1"/>
      <c r="B29" s="1"/>
      <c r="C29" s="1"/>
      <c r="D29" s="1"/>
      <c r="E29" s="1"/>
      <c r="F29" s="1"/>
      <c r="G29" s="9"/>
      <c r="H29" s="9"/>
      <c r="I29" s="9"/>
      <c r="J29" s="1"/>
      <c r="K29" s="1"/>
    </row>
    <row r="30" spans="1:11">
      <c r="A30" s="1"/>
      <c r="B30" s="1"/>
      <c r="C30" s="1"/>
      <c r="D30" s="1"/>
      <c r="E30" s="1"/>
      <c r="F30" s="1"/>
      <c r="G30" s="9"/>
      <c r="H30" s="9"/>
      <c r="I30" s="9"/>
      <c r="J30" s="1"/>
      <c r="K30" s="1"/>
    </row>
    <row r="31" spans="1:11">
      <c r="A31" s="1"/>
      <c r="B31" s="1"/>
      <c r="C31" s="1"/>
      <c r="D31" s="1"/>
      <c r="E31" s="1"/>
      <c r="F31" s="1"/>
      <c r="G31" s="9"/>
      <c r="H31" s="9"/>
      <c r="I31" s="9"/>
      <c r="J31" s="1"/>
      <c r="K31" s="1"/>
    </row>
  </sheetData>
  <mergeCells count="1">
    <mergeCell ref="A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H7" sqref="H7:H8"/>
    </sheetView>
  </sheetViews>
  <sheetFormatPr defaultRowHeight="15"/>
  <cols>
    <col min="1" max="1" width="3.7109375" customWidth="1"/>
    <col min="2" max="2" width="8.140625" customWidth="1"/>
    <col min="3" max="3" width="8.140625" bestFit="1" customWidth="1"/>
    <col min="4" max="4" width="40.5703125" customWidth="1"/>
    <col min="5" max="5" width="7.140625" customWidth="1"/>
    <col min="6" max="6" width="4.7109375" customWidth="1"/>
    <col min="7" max="7" width="11.5703125" style="12" bestFit="1" customWidth="1"/>
    <col min="8" max="8" width="12.5703125" style="12" bestFit="1" customWidth="1"/>
    <col min="9" max="9" width="11.5703125" style="12" customWidth="1"/>
    <col min="10" max="10" width="21.85546875" customWidth="1"/>
  </cols>
  <sheetData>
    <row r="1" spans="1:13">
      <c r="A1" s="46" t="s">
        <v>26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5.75" thickBo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ht="15.75" thickBot="1"/>
    <row r="4" spans="1:13" ht="15.75" thickBot="1">
      <c r="A4" s="5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13</v>
      </c>
      <c r="G4" s="37" t="s">
        <v>6</v>
      </c>
      <c r="H4" s="37" t="s">
        <v>7</v>
      </c>
      <c r="I4" s="37" t="s">
        <v>8</v>
      </c>
      <c r="J4" s="3" t="s">
        <v>9</v>
      </c>
      <c r="K4" s="4"/>
    </row>
    <row r="5" spans="1:13">
      <c r="A5" s="2"/>
      <c r="B5" s="2"/>
      <c r="C5" s="2"/>
      <c r="D5" s="2"/>
      <c r="E5" s="2"/>
      <c r="F5" s="2"/>
      <c r="G5" s="13"/>
      <c r="H5" s="13"/>
      <c r="I5" s="13"/>
      <c r="J5" s="2"/>
      <c r="K5" s="2"/>
    </row>
    <row r="6" spans="1:13">
      <c r="A6" s="1"/>
      <c r="B6" s="1" t="s">
        <v>28</v>
      </c>
      <c r="C6" s="1"/>
      <c r="D6" s="1" t="s">
        <v>21</v>
      </c>
      <c r="E6" s="1">
        <v>10</v>
      </c>
      <c r="F6" s="1">
        <v>1</v>
      </c>
      <c r="G6" s="10">
        <v>200000</v>
      </c>
      <c r="H6" s="10"/>
      <c r="I6" s="10">
        <v>200000</v>
      </c>
      <c r="J6" s="1" t="s">
        <v>27</v>
      </c>
      <c r="K6" s="1"/>
    </row>
    <row r="7" spans="1:13">
      <c r="A7" s="1"/>
      <c r="B7" s="1" t="s">
        <v>149</v>
      </c>
      <c r="C7" s="1" t="s">
        <v>116</v>
      </c>
      <c r="D7" s="1" t="s">
        <v>124</v>
      </c>
      <c r="E7" s="1"/>
      <c r="F7" s="1"/>
      <c r="G7" s="10"/>
      <c r="H7" s="10">
        <v>50000</v>
      </c>
      <c r="I7" s="10">
        <f>I6+G7-H7</f>
        <v>150000</v>
      </c>
      <c r="J7" s="1"/>
      <c r="K7" s="1"/>
    </row>
    <row r="8" spans="1:13">
      <c r="A8" s="1"/>
      <c r="B8" s="1" t="s">
        <v>150</v>
      </c>
      <c r="C8" s="1" t="s">
        <v>117</v>
      </c>
      <c r="D8" s="1" t="s">
        <v>124</v>
      </c>
      <c r="E8" s="1"/>
      <c r="F8" s="1"/>
      <c r="G8" s="10"/>
      <c r="H8" s="10">
        <v>50000</v>
      </c>
      <c r="I8" s="10">
        <f>I7+G8-H8</f>
        <v>100000</v>
      </c>
      <c r="J8" s="1"/>
      <c r="K8" s="1"/>
    </row>
    <row r="9" spans="1:13">
      <c r="A9" s="1"/>
      <c r="B9" s="1"/>
      <c r="C9" s="1"/>
      <c r="D9" s="1"/>
      <c r="E9" s="1"/>
      <c r="F9" s="1"/>
      <c r="G9" s="10"/>
      <c r="H9" s="10"/>
      <c r="I9" s="10"/>
      <c r="J9" s="1"/>
      <c r="K9" s="1"/>
    </row>
    <row r="10" spans="1:13">
      <c r="A10" s="1"/>
      <c r="B10" s="1"/>
      <c r="C10" s="1"/>
      <c r="D10" s="1"/>
      <c r="E10" s="1"/>
      <c r="F10" s="1"/>
      <c r="G10" s="10"/>
      <c r="H10" s="10"/>
      <c r="I10" s="10"/>
      <c r="J10" s="1"/>
      <c r="K10" s="1"/>
    </row>
    <row r="11" spans="1:13">
      <c r="A11" s="1"/>
      <c r="B11" s="1"/>
      <c r="C11" s="1"/>
      <c r="D11" s="1"/>
      <c r="E11" s="1"/>
      <c r="F11" s="1"/>
      <c r="G11" s="10"/>
      <c r="H11" s="10"/>
      <c r="I11" s="10"/>
      <c r="J11" s="1"/>
      <c r="K11" s="1"/>
    </row>
    <row r="12" spans="1:13">
      <c r="A12" s="1"/>
      <c r="B12" s="1"/>
      <c r="C12" s="1"/>
      <c r="D12" s="1"/>
      <c r="E12" s="1"/>
      <c r="F12" s="1"/>
      <c r="G12" s="10"/>
      <c r="H12" s="10"/>
      <c r="I12" s="10"/>
      <c r="J12" s="1"/>
      <c r="K12" s="1"/>
    </row>
    <row r="13" spans="1:13">
      <c r="A13" s="1"/>
      <c r="B13" s="1"/>
      <c r="C13" s="1"/>
      <c r="D13" s="1"/>
      <c r="E13" s="1"/>
      <c r="F13" s="1"/>
      <c r="G13" s="10"/>
      <c r="H13" s="10"/>
      <c r="I13" s="10"/>
      <c r="J13" s="1"/>
      <c r="K13" s="1"/>
    </row>
    <row r="14" spans="1:13">
      <c r="A14" s="1"/>
      <c r="B14" s="1"/>
      <c r="C14" s="1"/>
      <c r="D14" s="1"/>
      <c r="E14" s="1"/>
      <c r="F14" s="1"/>
      <c r="G14" s="10"/>
      <c r="H14" s="10"/>
      <c r="I14" s="10"/>
      <c r="J14" s="1"/>
      <c r="K14" s="1"/>
    </row>
    <row r="15" spans="1:13">
      <c r="A15" s="1"/>
      <c r="B15" s="1"/>
      <c r="C15" s="1"/>
      <c r="D15" s="1"/>
      <c r="E15" s="1"/>
      <c r="F15" s="1"/>
      <c r="G15" s="10"/>
      <c r="H15" s="10"/>
      <c r="I15" s="10"/>
      <c r="J15" s="1"/>
      <c r="K15" s="1"/>
    </row>
    <row r="16" spans="1:13">
      <c r="A16" s="1"/>
      <c r="B16" s="1"/>
      <c r="C16" s="1"/>
      <c r="D16" s="1"/>
      <c r="E16" s="1"/>
      <c r="F16" s="1"/>
      <c r="G16" s="10"/>
      <c r="H16" s="10"/>
      <c r="I16" s="10"/>
      <c r="J16" s="1"/>
      <c r="K16" s="1"/>
    </row>
    <row r="17" spans="1:11">
      <c r="A17" s="1"/>
      <c r="B17" s="1"/>
      <c r="C17" s="1"/>
      <c r="D17" s="1"/>
      <c r="E17" s="1"/>
      <c r="F17" s="1"/>
      <c r="G17" s="10"/>
      <c r="H17" s="10"/>
      <c r="I17" s="10"/>
      <c r="J17" s="1"/>
      <c r="K17" s="1"/>
    </row>
    <row r="18" spans="1:11">
      <c r="A18" s="1"/>
      <c r="B18" s="1"/>
      <c r="C18" s="1"/>
      <c r="D18" s="1"/>
      <c r="E18" s="1"/>
      <c r="F18" s="1"/>
      <c r="G18" s="10"/>
      <c r="H18" s="10"/>
      <c r="I18" s="10"/>
      <c r="J18" s="1"/>
      <c r="K18" s="1"/>
    </row>
    <row r="19" spans="1:11">
      <c r="A19" s="1"/>
      <c r="B19" s="1"/>
      <c r="C19" s="1"/>
      <c r="D19" s="1"/>
      <c r="E19" s="1"/>
      <c r="F19" s="1"/>
      <c r="G19" s="10"/>
      <c r="H19" s="10"/>
      <c r="I19" s="10"/>
      <c r="J19" s="1"/>
      <c r="K19" s="1"/>
    </row>
    <row r="20" spans="1:11">
      <c r="A20" s="1"/>
      <c r="B20" s="1"/>
      <c r="C20" s="1"/>
      <c r="D20" s="1"/>
      <c r="E20" s="1"/>
      <c r="F20" s="1"/>
      <c r="G20" s="10"/>
      <c r="H20" s="10"/>
      <c r="I20" s="10"/>
      <c r="J20" s="1"/>
      <c r="K20" s="1"/>
    </row>
    <row r="21" spans="1:11">
      <c r="A21" s="1"/>
      <c r="B21" s="1"/>
      <c r="C21" s="1"/>
      <c r="D21" s="1"/>
      <c r="E21" s="1"/>
      <c r="F21" s="1"/>
      <c r="G21" s="10"/>
      <c r="H21" s="10"/>
      <c r="I21" s="10"/>
      <c r="J21" s="1"/>
      <c r="K21" s="1"/>
    </row>
    <row r="22" spans="1:11">
      <c r="A22" s="1"/>
      <c r="B22" s="1"/>
      <c r="C22" s="1"/>
      <c r="D22" s="1"/>
      <c r="E22" s="1"/>
      <c r="F22" s="1"/>
      <c r="G22" s="10"/>
      <c r="H22" s="10"/>
      <c r="I22" s="10"/>
      <c r="J22" s="1"/>
      <c r="K22" s="1"/>
    </row>
    <row r="23" spans="1:11">
      <c r="A23" s="1"/>
      <c r="B23" s="1"/>
      <c r="C23" s="1"/>
      <c r="D23" s="1"/>
      <c r="E23" s="1"/>
      <c r="F23" s="1"/>
      <c r="G23" s="10"/>
      <c r="H23" s="10"/>
      <c r="I23" s="10"/>
      <c r="J23" s="1"/>
      <c r="K23" s="1"/>
    </row>
    <row r="24" spans="1:11">
      <c r="A24" s="1"/>
      <c r="B24" s="1"/>
      <c r="C24" s="1"/>
      <c r="D24" s="1"/>
      <c r="E24" s="1"/>
      <c r="F24" s="1"/>
      <c r="G24" s="10"/>
      <c r="H24" s="10"/>
      <c r="I24" s="10"/>
      <c r="J24" s="1"/>
      <c r="K24" s="1"/>
    </row>
    <row r="25" spans="1:11">
      <c r="A25" s="1"/>
      <c r="B25" s="1"/>
      <c r="C25" s="1"/>
      <c r="D25" s="1"/>
      <c r="E25" s="1"/>
      <c r="F25" s="1"/>
      <c r="G25" s="10"/>
      <c r="H25" s="10"/>
      <c r="I25" s="10"/>
      <c r="J25" s="1"/>
      <c r="K25" s="1"/>
    </row>
    <row r="26" spans="1:11">
      <c r="A26" s="1"/>
      <c r="B26" s="1"/>
      <c r="C26" s="1"/>
      <c r="D26" s="1"/>
      <c r="E26" s="1"/>
      <c r="F26" s="1"/>
      <c r="G26" s="10"/>
      <c r="H26" s="10"/>
      <c r="I26" s="10"/>
      <c r="J26" s="1"/>
      <c r="K26" s="1"/>
    </row>
    <row r="27" spans="1:11">
      <c r="A27" s="1"/>
      <c r="B27" s="1"/>
      <c r="C27" s="1"/>
      <c r="D27" s="1"/>
      <c r="E27" s="1"/>
      <c r="F27" s="1"/>
      <c r="G27" s="10"/>
      <c r="H27" s="10"/>
      <c r="I27" s="10"/>
      <c r="J27" s="1"/>
      <c r="K27" s="1"/>
    </row>
    <row r="28" spans="1:11">
      <c r="A28" s="1"/>
      <c r="B28" s="1"/>
      <c r="C28" s="1"/>
      <c r="D28" s="1"/>
      <c r="E28" s="1"/>
      <c r="F28" s="1"/>
      <c r="G28" s="10"/>
      <c r="H28" s="10"/>
      <c r="I28" s="10"/>
      <c r="J28" s="1"/>
      <c r="K28" s="1"/>
    </row>
    <row r="29" spans="1:11">
      <c r="A29" s="1"/>
      <c r="B29" s="1"/>
      <c r="C29" s="1"/>
      <c r="D29" s="1"/>
      <c r="E29" s="1"/>
      <c r="F29" s="1"/>
      <c r="G29" s="10"/>
      <c r="H29" s="10"/>
      <c r="I29" s="10"/>
      <c r="J29" s="1"/>
      <c r="K29" s="1"/>
    </row>
    <row r="30" spans="1:11">
      <c r="A30" s="1"/>
      <c r="B30" s="1"/>
      <c r="C30" s="1"/>
      <c r="D30" s="1"/>
      <c r="E30" s="1"/>
      <c r="F30" s="1"/>
      <c r="G30" s="10"/>
      <c r="H30" s="10"/>
      <c r="I30" s="10"/>
      <c r="J30" s="1"/>
      <c r="K30" s="1"/>
    </row>
    <row r="31" spans="1:11">
      <c r="A31" s="1"/>
      <c r="B31" s="1"/>
      <c r="C31" s="1"/>
      <c r="D31" s="1"/>
      <c r="E31" s="1"/>
      <c r="F31" s="1"/>
      <c r="G31" s="10"/>
      <c r="H31" s="10"/>
      <c r="I31" s="10"/>
      <c r="J31" s="1"/>
      <c r="K31" s="1"/>
    </row>
  </sheetData>
  <mergeCells count="1">
    <mergeCell ref="A1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J6" sqref="D6:J6"/>
    </sheetView>
  </sheetViews>
  <sheetFormatPr defaultRowHeight="15"/>
  <cols>
    <col min="1" max="1" width="3.7109375" customWidth="1"/>
    <col min="2" max="2" width="8.140625" customWidth="1"/>
    <col min="3" max="3" width="8.140625" bestFit="1" customWidth="1"/>
    <col min="4" max="4" width="40.5703125" customWidth="1"/>
    <col min="5" max="5" width="7.140625" customWidth="1"/>
    <col min="6" max="6" width="4.7109375" customWidth="1"/>
    <col min="7" max="7" width="11.5703125" style="6" bestFit="1" customWidth="1"/>
    <col min="8" max="8" width="12.5703125" style="6" bestFit="1" customWidth="1"/>
    <col min="9" max="9" width="11.5703125" style="6" customWidth="1"/>
    <col min="10" max="10" width="24.5703125" bestFit="1" customWidth="1"/>
  </cols>
  <sheetData>
    <row r="1" spans="1:13">
      <c r="A1" s="46" t="s">
        <v>29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5.75" thickBo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ht="15.75" thickBot="1"/>
    <row r="4" spans="1:13" ht="15.75" thickBot="1">
      <c r="A4" s="5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13</v>
      </c>
      <c r="G4" s="7" t="s">
        <v>6</v>
      </c>
      <c r="H4" s="7" t="s">
        <v>7</v>
      </c>
      <c r="I4" s="7" t="s">
        <v>8</v>
      </c>
      <c r="J4" s="3" t="s">
        <v>9</v>
      </c>
      <c r="K4" s="4"/>
    </row>
    <row r="5" spans="1:13">
      <c r="A5" s="2"/>
      <c r="B5" s="2"/>
      <c r="C5" s="2"/>
      <c r="D5" s="2"/>
      <c r="E5" s="2"/>
      <c r="F5" s="2"/>
      <c r="G5" s="8"/>
      <c r="H5" s="8"/>
      <c r="I5" s="8"/>
      <c r="J5" s="2"/>
      <c r="K5" s="2"/>
    </row>
    <row r="6" spans="1:13">
      <c r="A6" s="1"/>
      <c r="B6" s="1" t="s">
        <v>30</v>
      </c>
      <c r="C6" s="1"/>
      <c r="D6" s="1" t="s">
        <v>19</v>
      </c>
      <c r="E6" s="1">
        <v>1</v>
      </c>
      <c r="F6" s="1">
        <v>1</v>
      </c>
      <c r="G6" s="9">
        <v>100005</v>
      </c>
      <c r="H6" s="9"/>
      <c r="I6" s="9">
        <v>100005</v>
      </c>
      <c r="J6" s="1" t="s">
        <v>27</v>
      </c>
      <c r="K6" s="1"/>
    </row>
    <row r="7" spans="1:13">
      <c r="A7" s="1"/>
      <c r="B7" s="1"/>
      <c r="C7" s="1" t="s">
        <v>31</v>
      </c>
      <c r="D7" s="1" t="s">
        <v>33</v>
      </c>
      <c r="E7" s="1"/>
      <c r="F7" s="1"/>
      <c r="G7" s="9"/>
      <c r="H7" s="10">
        <v>100000</v>
      </c>
      <c r="I7" s="9">
        <f>I6+G7-H7</f>
        <v>5</v>
      </c>
      <c r="J7" s="1"/>
      <c r="K7" s="1"/>
    </row>
    <row r="8" spans="1:13">
      <c r="A8" s="1"/>
      <c r="B8" s="1"/>
      <c r="C8" s="1"/>
      <c r="D8" s="1"/>
      <c r="E8" s="1"/>
      <c r="F8" s="1"/>
      <c r="G8" s="9"/>
      <c r="H8" s="9"/>
      <c r="I8" s="9">
        <f t="shared" ref="I8:I14" si="0">I7+G8-H8</f>
        <v>5</v>
      </c>
      <c r="J8" s="1"/>
      <c r="K8" s="1"/>
    </row>
    <row r="9" spans="1:13">
      <c r="A9" s="1"/>
      <c r="B9" s="1"/>
      <c r="C9" s="1"/>
      <c r="D9" s="1" t="s">
        <v>34</v>
      </c>
      <c r="E9" s="1"/>
      <c r="F9" s="1"/>
      <c r="G9" s="9">
        <v>175000</v>
      </c>
      <c r="H9" s="9"/>
      <c r="I9" s="9">
        <f t="shared" si="0"/>
        <v>175005</v>
      </c>
      <c r="J9" s="1" t="s">
        <v>27</v>
      </c>
      <c r="K9" s="1"/>
    </row>
    <row r="10" spans="1:13">
      <c r="A10" s="1"/>
      <c r="B10" s="1"/>
      <c r="C10" s="1"/>
      <c r="D10" s="1" t="s">
        <v>37</v>
      </c>
      <c r="E10" s="1"/>
      <c r="F10" s="1">
        <v>4</v>
      </c>
      <c r="G10" s="9">
        <v>20000</v>
      </c>
      <c r="H10" s="9"/>
      <c r="I10" s="9">
        <f t="shared" si="0"/>
        <v>195005</v>
      </c>
      <c r="J10" s="1" t="s">
        <v>27</v>
      </c>
      <c r="K10" s="1"/>
    </row>
    <row r="11" spans="1:13">
      <c r="A11" s="1"/>
      <c r="B11" s="1"/>
      <c r="C11" s="1"/>
      <c r="D11" s="1" t="s">
        <v>35</v>
      </c>
      <c r="E11" s="1"/>
      <c r="F11" s="1">
        <v>1</v>
      </c>
      <c r="G11" s="9">
        <v>7000</v>
      </c>
      <c r="H11" s="9"/>
      <c r="I11" s="9">
        <f t="shared" si="0"/>
        <v>202005</v>
      </c>
      <c r="J11" s="1" t="s">
        <v>27</v>
      </c>
      <c r="K11" s="1"/>
    </row>
    <row r="12" spans="1:13">
      <c r="A12" s="1"/>
      <c r="B12" s="1"/>
      <c r="C12" s="1" t="s">
        <v>36</v>
      </c>
      <c r="D12" s="1" t="s">
        <v>32</v>
      </c>
      <c r="E12" s="1"/>
      <c r="F12" s="1"/>
      <c r="G12" s="9"/>
      <c r="H12" s="9">
        <v>27000</v>
      </c>
      <c r="I12" s="9">
        <f t="shared" si="0"/>
        <v>175005</v>
      </c>
      <c r="J12" s="1"/>
      <c r="K12" s="1"/>
    </row>
    <row r="13" spans="1:13">
      <c r="A13" s="1"/>
      <c r="B13" s="1"/>
      <c r="C13" s="1" t="s">
        <v>38</v>
      </c>
      <c r="D13" s="1" t="s">
        <v>32</v>
      </c>
      <c r="E13" s="1"/>
      <c r="F13" s="1"/>
      <c r="G13" s="9"/>
      <c r="H13" s="9">
        <v>100000</v>
      </c>
      <c r="I13" s="9">
        <f t="shared" si="0"/>
        <v>75005</v>
      </c>
      <c r="J13" s="1" t="s">
        <v>39</v>
      </c>
      <c r="K13" s="1"/>
    </row>
    <row r="14" spans="1:13">
      <c r="A14" s="1"/>
      <c r="B14" s="1"/>
      <c r="C14" s="1" t="s">
        <v>40</v>
      </c>
      <c r="D14" s="1" t="s">
        <v>32</v>
      </c>
      <c r="E14" s="1"/>
      <c r="F14" s="1"/>
      <c r="G14" s="9"/>
      <c r="H14" s="9">
        <v>50000</v>
      </c>
      <c r="I14" s="9">
        <f t="shared" si="0"/>
        <v>25005</v>
      </c>
      <c r="J14" s="1" t="s">
        <v>41</v>
      </c>
      <c r="K14" s="1"/>
    </row>
    <row r="15" spans="1:13">
      <c r="A15" s="1"/>
      <c r="B15" s="1"/>
      <c r="C15" s="1"/>
      <c r="D15" s="1"/>
      <c r="E15" s="1"/>
      <c r="F15" s="1"/>
      <c r="G15" s="9"/>
      <c r="H15" s="9"/>
      <c r="I15" s="9"/>
      <c r="J15" s="1"/>
      <c r="K15" s="1"/>
    </row>
    <row r="16" spans="1:13">
      <c r="A16" s="1"/>
      <c r="B16" s="1"/>
      <c r="C16" s="1"/>
      <c r="D16" s="1"/>
      <c r="E16" s="1"/>
      <c r="F16" s="1"/>
      <c r="G16" s="9"/>
      <c r="H16" s="9"/>
      <c r="I16" s="9"/>
      <c r="J16" s="1"/>
      <c r="K16" s="1"/>
    </row>
    <row r="17" spans="1:11">
      <c r="A17" s="1"/>
      <c r="B17" s="1"/>
      <c r="C17" s="1"/>
      <c r="D17" s="1"/>
      <c r="E17" s="1"/>
      <c r="F17" s="1"/>
      <c r="G17" s="9"/>
      <c r="H17" s="9"/>
      <c r="I17" s="9"/>
      <c r="J17" s="1"/>
      <c r="K17" s="1"/>
    </row>
    <row r="18" spans="1:11">
      <c r="A18" s="1"/>
      <c r="B18" s="1"/>
      <c r="C18" s="1"/>
      <c r="D18" s="1"/>
      <c r="E18" s="1"/>
      <c r="F18" s="1"/>
      <c r="G18" s="9"/>
      <c r="H18" s="9"/>
      <c r="I18" s="9"/>
      <c r="J18" s="1"/>
      <c r="K18" s="1"/>
    </row>
    <row r="19" spans="1:11">
      <c r="A19" s="1"/>
      <c r="B19" s="1"/>
      <c r="C19" s="1"/>
      <c r="D19" s="1"/>
      <c r="E19" s="1"/>
      <c r="F19" s="1"/>
      <c r="G19" s="9"/>
      <c r="H19" s="9"/>
      <c r="I19" s="9"/>
      <c r="J19" s="1"/>
      <c r="K19" s="1"/>
    </row>
    <row r="20" spans="1:11">
      <c r="A20" s="1"/>
      <c r="B20" s="1"/>
      <c r="C20" s="1"/>
      <c r="D20" s="1"/>
      <c r="E20" s="1"/>
      <c r="F20" s="1"/>
      <c r="G20" s="9"/>
      <c r="H20" s="9"/>
      <c r="I20" s="9"/>
      <c r="J20" s="1"/>
      <c r="K20" s="1"/>
    </row>
    <row r="21" spans="1:11">
      <c r="A21" s="1"/>
      <c r="B21" s="1"/>
      <c r="C21" s="1"/>
      <c r="D21" s="1"/>
      <c r="E21" s="1"/>
      <c r="F21" s="1"/>
      <c r="G21" s="9"/>
      <c r="H21" s="9"/>
      <c r="I21" s="9"/>
      <c r="J21" s="1"/>
      <c r="K21" s="1"/>
    </row>
    <row r="22" spans="1:11">
      <c r="A22" s="1"/>
      <c r="B22" s="1"/>
      <c r="C22" s="1"/>
      <c r="D22" s="1"/>
      <c r="E22" s="1"/>
      <c r="F22" s="1"/>
      <c r="G22" s="9"/>
      <c r="H22" s="9"/>
      <c r="I22" s="9"/>
      <c r="J22" s="1"/>
      <c r="K22" s="1"/>
    </row>
    <row r="23" spans="1:11">
      <c r="A23" s="1"/>
      <c r="B23" s="1"/>
      <c r="C23" s="1"/>
      <c r="D23" s="1"/>
      <c r="E23" s="1"/>
      <c r="F23" s="1"/>
      <c r="G23" s="9"/>
      <c r="H23" s="9"/>
      <c r="I23" s="9"/>
      <c r="J23" s="1"/>
      <c r="K23" s="1"/>
    </row>
    <row r="24" spans="1:11">
      <c r="A24" s="1"/>
      <c r="B24" s="1"/>
      <c r="C24" s="1"/>
      <c r="D24" s="1"/>
      <c r="E24" s="1"/>
      <c r="F24" s="1"/>
      <c r="G24" s="9"/>
      <c r="H24" s="9"/>
      <c r="I24" s="9"/>
      <c r="J24" s="1"/>
      <c r="K24" s="1"/>
    </row>
    <row r="25" spans="1:11">
      <c r="A25" s="1"/>
      <c r="B25" s="1"/>
      <c r="C25" s="1"/>
      <c r="D25" s="1"/>
      <c r="E25" s="1"/>
      <c r="F25" s="1"/>
      <c r="G25" s="9"/>
      <c r="H25" s="9"/>
      <c r="I25" s="9"/>
      <c r="J25" s="1"/>
      <c r="K25" s="1"/>
    </row>
    <row r="26" spans="1:11">
      <c r="A26" s="1"/>
      <c r="B26" s="1"/>
      <c r="C26" s="1"/>
      <c r="D26" s="1"/>
      <c r="E26" s="1"/>
      <c r="F26" s="1"/>
      <c r="G26" s="9"/>
      <c r="H26" s="9"/>
      <c r="I26" s="9"/>
      <c r="J26" s="1"/>
      <c r="K26" s="1"/>
    </row>
    <row r="27" spans="1:11">
      <c r="A27" s="1"/>
      <c r="B27" s="1"/>
      <c r="C27" s="1"/>
      <c r="D27" s="1"/>
      <c r="E27" s="1"/>
      <c r="F27" s="1"/>
      <c r="G27" s="9"/>
      <c r="H27" s="9"/>
      <c r="I27" s="9"/>
      <c r="J27" s="1"/>
      <c r="K27" s="1"/>
    </row>
    <row r="28" spans="1:11">
      <c r="A28" s="1"/>
      <c r="B28" s="1"/>
      <c r="C28" s="1"/>
      <c r="D28" s="1"/>
      <c r="E28" s="1"/>
      <c r="F28" s="1"/>
      <c r="G28" s="9"/>
      <c r="H28" s="9"/>
      <c r="I28" s="9"/>
      <c r="J28" s="1"/>
      <c r="K28" s="1"/>
    </row>
    <row r="29" spans="1:11">
      <c r="A29" s="1"/>
      <c r="B29" s="1"/>
      <c r="C29" s="1"/>
      <c r="D29" s="1"/>
      <c r="E29" s="1"/>
      <c r="F29" s="1"/>
      <c r="G29" s="9"/>
      <c r="H29" s="9"/>
      <c r="I29" s="9"/>
      <c r="J29" s="1"/>
      <c r="K29" s="1"/>
    </row>
    <row r="30" spans="1:11">
      <c r="A30" s="1"/>
      <c r="B30" s="1"/>
      <c r="C30" s="1"/>
      <c r="D30" s="1"/>
      <c r="E30" s="1"/>
      <c r="F30" s="1"/>
      <c r="G30" s="9"/>
      <c r="H30" s="9"/>
      <c r="I30" s="9"/>
      <c r="J30" s="1"/>
      <c r="K30" s="1"/>
    </row>
    <row r="31" spans="1:11">
      <c r="A31" s="1"/>
      <c r="B31" s="1"/>
      <c r="C31" s="1"/>
      <c r="D31" s="1"/>
      <c r="E31" s="1"/>
      <c r="F31" s="1"/>
      <c r="G31" s="9"/>
      <c r="H31" s="9"/>
      <c r="I31" s="9"/>
      <c r="J31" s="1"/>
      <c r="K31" s="1"/>
    </row>
  </sheetData>
  <mergeCells count="1">
    <mergeCell ref="A1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selection activeCell="P3" sqref="P3"/>
    </sheetView>
  </sheetViews>
  <sheetFormatPr defaultRowHeight="15"/>
  <cols>
    <col min="1" max="1" width="3.7109375" customWidth="1"/>
    <col min="2" max="2" width="8.140625" customWidth="1"/>
    <col min="3" max="3" width="8.140625" bestFit="1" customWidth="1"/>
    <col min="4" max="4" width="40.5703125" customWidth="1"/>
    <col min="5" max="5" width="7.7109375" bestFit="1" customWidth="1"/>
    <col min="6" max="6" width="4.5703125" bestFit="1" customWidth="1"/>
    <col min="7" max="7" width="11.5703125" style="6" bestFit="1" customWidth="1"/>
    <col min="8" max="8" width="12.5703125" style="6" bestFit="1" customWidth="1"/>
    <col min="9" max="9" width="11.5703125" style="6" customWidth="1"/>
    <col min="10" max="10" width="11.5703125" style="39" bestFit="1" customWidth="1"/>
    <col min="13" max="13" width="6.140625" customWidth="1"/>
    <col min="14" max="14" width="11.5703125" bestFit="1" customWidth="1"/>
    <col min="15" max="15" width="11.28515625" customWidth="1"/>
  </cols>
  <sheetData>
    <row r="1" spans="1:18">
      <c r="A1" s="46" t="s">
        <v>42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8" ht="15.75" thickBo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  <c r="N2">
        <v>330000</v>
      </c>
      <c r="O2">
        <v>312192</v>
      </c>
      <c r="P2">
        <f>N2-O2</f>
        <v>17808</v>
      </c>
    </row>
    <row r="3" spans="1:18" ht="15.75" thickBot="1"/>
    <row r="4" spans="1:18" ht="15.75" thickBot="1">
      <c r="A4" s="5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13</v>
      </c>
      <c r="G4" s="7" t="s">
        <v>6</v>
      </c>
      <c r="H4" s="7" t="s">
        <v>7</v>
      </c>
      <c r="I4" s="7" t="s">
        <v>8</v>
      </c>
      <c r="J4" s="3" t="s">
        <v>9</v>
      </c>
      <c r="K4" s="38"/>
      <c r="L4" s="40" t="s">
        <v>152</v>
      </c>
      <c r="M4" s="3" t="s">
        <v>153</v>
      </c>
      <c r="N4" s="3" t="s">
        <v>154</v>
      </c>
      <c r="O4" s="3" t="s">
        <v>155</v>
      </c>
      <c r="P4" s="3" t="s">
        <v>155</v>
      </c>
      <c r="Q4" s="3" t="s">
        <v>156</v>
      </c>
      <c r="R4" s="41"/>
    </row>
    <row r="5" spans="1:18">
      <c r="A5" s="2"/>
      <c r="B5" s="2"/>
      <c r="C5" s="2"/>
      <c r="D5" s="2"/>
      <c r="E5" s="2"/>
      <c r="F5" s="2"/>
      <c r="G5" s="8"/>
      <c r="H5" s="8"/>
      <c r="I5" s="8"/>
      <c r="J5" s="2"/>
      <c r="K5" s="38"/>
      <c r="L5" s="2"/>
      <c r="M5" s="2"/>
      <c r="N5" s="2"/>
      <c r="O5" s="2"/>
      <c r="P5" s="2"/>
      <c r="Q5" s="2"/>
      <c r="R5" s="2"/>
    </row>
    <row r="6" spans="1:18">
      <c r="A6" s="1"/>
      <c r="B6" s="1" t="s">
        <v>45</v>
      </c>
      <c r="C6" s="1" t="s">
        <v>137</v>
      </c>
      <c r="D6" s="1" t="s">
        <v>43</v>
      </c>
      <c r="E6" s="1"/>
      <c r="F6" s="1">
        <v>1</v>
      </c>
      <c r="G6" s="9">
        <v>62150</v>
      </c>
      <c r="H6" s="9"/>
      <c r="I6" s="9">
        <v>62150</v>
      </c>
      <c r="J6" s="1" t="s">
        <v>27</v>
      </c>
      <c r="K6" s="38"/>
      <c r="L6" s="1" t="s">
        <v>82</v>
      </c>
      <c r="M6" s="1"/>
      <c r="N6" s="1" t="s">
        <v>178</v>
      </c>
      <c r="O6" s="1">
        <v>121510</v>
      </c>
      <c r="P6" s="1"/>
      <c r="Q6" s="1"/>
      <c r="R6" s="1"/>
    </row>
    <row r="7" spans="1:18">
      <c r="A7" s="1"/>
      <c r="B7" s="1" t="s">
        <v>45</v>
      </c>
      <c r="C7" s="1" t="s">
        <v>137</v>
      </c>
      <c r="D7" s="1" t="s">
        <v>44</v>
      </c>
      <c r="E7" s="1"/>
      <c r="F7" s="1">
        <v>1</v>
      </c>
      <c r="G7" s="9">
        <v>2260</v>
      </c>
      <c r="H7" s="10"/>
      <c r="I7" s="9">
        <f>I6+G7-H7</f>
        <v>64410</v>
      </c>
      <c r="J7" s="1"/>
      <c r="K7" s="38"/>
      <c r="L7" s="1"/>
      <c r="M7" s="1"/>
      <c r="N7" s="1"/>
      <c r="O7" s="1">
        <v>5000</v>
      </c>
      <c r="P7" s="1"/>
      <c r="Q7" s="1"/>
      <c r="R7" s="1"/>
    </row>
    <row r="8" spans="1:18" ht="15.75" thickBot="1">
      <c r="A8" s="1"/>
      <c r="B8" s="1" t="s">
        <v>45</v>
      </c>
      <c r="C8" s="1" t="s">
        <v>137</v>
      </c>
      <c r="D8" s="1" t="s">
        <v>43</v>
      </c>
      <c r="E8" s="1"/>
      <c r="F8" s="1">
        <v>1</v>
      </c>
      <c r="G8" s="9">
        <v>62150</v>
      </c>
      <c r="H8" s="9"/>
      <c r="I8" s="9">
        <f t="shared" ref="I8:I24" si="0">I7+G8-H8</f>
        <v>126560</v>
      </c>
      <c r="J8" s="1"/>
      <c r="K8" s="38"/>
      <c r="L8" s="43"/>
      <c r="M8" s="43"/>
      <c r="N8" s="43"/>
      <c r="O8" s="43"/>
      <c r="P8" s="43"/>
      <c r="Q8" s="43"/>
      <c r="R8" s="43"/>
    </row>
    <row r="9" spans="1:18" ht="15.75" thickBot="1">
      <c r="A9" s="1"/>
      <c r="B9" s="1" t="s">
        <v>45</v>
      </c>
      <c r="C9" s="1" t="s">
        <v>137</v>
      </c>
      <c r="D9" s="1" t="s">
        <v>44</v>
      </c>
      <c r="E9" s="1"/>
      <c r="F9" s="1">
        <v>1</v>
      </c>
      <c r="G9" s="9">
        <v>2260</v>
      </c>
      <c r="H9" s="9"/>
      <c r="I9" s="9">
        <f t="shared" si="0"/>
        <v>128820</v>
      </c>
      <c r="J9" s="1"/>
      <c r="K9" s="38"/>
      <c r="L9" s="44"/>
      <c r="M9" s="42"/>
      <c r="N9" s="42"/>
      <c r="O9" s="42">
        <f>SUM(O6:O8)</f>
        <v>126510</v>
      </c>
      <c r="P9" s="42">
        <v>190657</v>
      </c>
      <c r="Q9" s="42">
        <f>P9-O9</f>
        <v>64147</v>
      </c>
      <c r="R9" s="4"/>
    </row>
    <row r="10" spans="1:18">
      <c r="A10" s="1"/>
      <c r="B10" s="1" t="s">
        <v>45</v>
      </c>
      <c r="C10" s="1" t="s">
        <v>137</v>
      </c>
      <c r="D10" s="1" t="s">
        <v>43</v>
      </c>
      <c r="E10" s="1"/>
      <c r="F10" s="1">
        <v>1</v>
      </c>
      <c r="G10" s="9">
        <v>62150</v>
      </c>
      <c r="H10" s="9"/>
      <c r="I10" s="9">
        <f t="shared" si="0"/>
        <v>190970</v>
      </c>
      <c r="J10" s="1"/>
      <c r="K10" s="38"/>
      <c r="L10" s="2"/>
      <c r="M10" s="2"/>
      <c r="N10" s="2"/>
      <c r="O10" s="2"/>
      <c r="P10" s="2"/>
      <c r="Q10" s="2"/>
      <c r="R10" s="2"/>
    </row>
    <row r="11" spans="1:18">
      <c r="A11" s="1"/>
      <c r="B11" s="1" t="s">
        <v>45</v>
      </c>
      <c r="C11" s="1" t="s">
        <v>137</v>
      </c>
      <c r="D11" s="1" t="s">
        <v>44</v>
      </c>
      <c r="E11" s="1"/>
      <c r="F11" s="1">
        <v>1</v>
      </c>
      <c r="G11" s="9">
        <v>2260</v>
      </c>
      <c r="H11" s="9"/>
      <c r="I11" s="9">
        <f t="shared" si="0"/>
        <v>193230</v>
      </c>
      <c r="J11" s="1"/>
      <c r="K11" s="38"/>
      <c r="L11" s="1" t="s">
        <v>179</v>
      </c>
      <c r="M11" s="1"/>
      <c r="N11" s="1" t="s">
        <v>178</v>
      </c>
      <c r="O11" s="1">
        <v>210510</v>
      </c>
      <c r="P11" s="1"/>
      <c r="Q11" s="1"/>
      <c r="R11" s="1"/>
    </row>
    <row r="12" spans="1:18">
      <c r="A12" s="1"/>
      <c r="B12" s="1" t="s">
        <v>144</v>
      </c>
      <c r="C12" s="1" t="s">
        <v>46</v>
      </c>
      <c r="D12" s="1" t="s">
        <v>138</v>
      </c>
      <c r="E12" s="1"/>
      <c r="F12" s="1"/>
      <c r="G12" s="9"/>
      <c r="H12" s="9">
        <v>190657</v>
      </c>
      <c r="I12" s="9">
        <f t="shared" si="0"/>
        <v>2573</v>
      </c>
      <c r="J12" s="1"/>
      <c r="K12" s="38"/>
      <c r="L12" s="1"/>
      <c r="M12" s="1"/>
      <c r="N12" s="1"/>
      <c r="O12" s="1">
        <v>5000</v>
      </c>
      <c r="P12" s="1"/>
      <c r="Q12" s="1"/>
      <c r="R12" s="1"/>
    </row>
    <row r="13" spans="1:18" ht="15.75" thickBot="1">
      <c r="A13" s="1"/>
      <c r="B13" s="1" t="s">
        <v>144</v>
      </c>
      <c r="C13" s="1" t="s">
        <v>46</v>
      </c>
      <c r="D13" s="1" t="s">
        <v>47</v>
      </c>
      <c r="E13" s="1"/>
      <c r="F13" s="1"/>
      <c r="G13" s="9"/>
      <c r="H13" s="9">
        <v>2573</v>
      </c>
      <c r="I13" s="9">
        <f t="shared" si="0"/>
        <v>0</v>
      </c>
      <c r="J13" s="1"/>
      <c r="K13" s="38"/>
      <c r="L13" s="43"/>
      <c r="M13" s="43"/>
      <c r="N13" s="43"/>
      <c r="O13" s="43"/>
      <c r="P13" s="43"/>
      <c r="Q13" s="43"/>
      <c r="R13" s="43"/>
    </row>
    <row r="14" spans="1:18" ht="15.75" thickBot="1">
      <c r="A14" s="1"/>
      <c r="B14" s="1" t="s">
        <v>145</v>
      </c>
      <c r="C14" s="1" t="s">
        <v>140</v>
      </c>
      <c r="D14" s="1" t="s">
        <v>133</v>
      </c>
      <c r="E14" s="1">
        <v>5</v>
      </c>
      <c r="F14" s="1"/>
      <c r="G14" s="9">
        <v>181930</v>
      </c>
      <c r="H14" s="9"/>
      <c r="I14" s="9">
        <f t="shared" si="0"/>
        <v>181930</v>
      </c>
      <c r="J14" s="45"/>
      <c r="K14" s="38"/>
      <c r="L14" s="44"/>
      <c r="M14" s="42"/>
      <c r="N14" s="42"/>
      <c r="O14" s="42">
        <f>SUM(O11:O13)</f>
        <v>215510</v>
      </c>
      <c r="P14" s="42">
        <v>358210</v>
      </c>
      <c r="Q14" s="42">
        <f>P14-O14</f>
        <v>142700</v>
      </c>
      <c r="R14" s="4"/>
    </row>
    <row r="15" spans="1:18">
      <c r="A15" s="1"/>
      <c r="B15" s="1" t="s">
        <v>146</v>
      </c>
      <c r="C15" s="1" t="s">
        <v>141</v>
      </c>
      <c r="D15" s="1" t="s">
        <v>133</v>
      </c>
      <c r="E15" s="1">
        <v>6</v>
      </c>
      <c r="F15" s="1"/>
      <c r="G15" s="9">
        <v>58760</v>
      </c>
      <c r="H15" s="9"/>
      <c r="I15" s="9">
        <f t="shared" si="0"/>
        <v>240690</v>
      </c>
      <c r="J15" s="45"/>
      <c r="K15" s="38"/>
      <c r="L15" s="2"/>
      <c r="M15" s="2"/>
      <c r="N15" s="2"/>
      <c r="O15" s="2"/>
      <c r="P15" s="2"/>
      <c r="Q15" s="2"/>
      <c r="R15" s="2"/>
    </row>
    <row r="16" spans="1:18">
      <c r="A16" s="1"/>
      <c r="B16" s="1" t="s">
        <v>146</v>
      </c>
      <c r="C16" s="1" t="s">
        <v>141</v>
      </c>
      <c r="D16" s="1" t="s">
        <v>133</v>
      </c>
      <c r="E16" s="1">
        <v>7</v>
      </c>
      <c r="F16" s="1"/>
      <c r="G16" s="9">
        <v>58760</v>
      </c>
      <c r="H16" s="9"/>
      <c r="I16" s="9">
        <f t="shared" si="0"/>
        <v>299450</v>
      </c>
      <c r="J16" s="45"/>
      <c r="K16" s="38"/>
      <c r="L16" s="1" t="s">
        <v>113</v>
      </c>
      <c r="M16" s="1"/>
      <c r="N16" s="1" t="s">
        <v>201</v>
      </c>
      <c r="O16" s="1">
        <v>193000</v>
      </c>
      <c r="P16" s="1"/>
      <c r="Q16" s="1"/>
      <c r="R16" s="1"/>
    </row>
    <row r="17" spans="1:18">
      <c r="A17" s="1"/>
      <c r="B17" s="1" t="s">
        <v>147</v>
      </c>
      <c r="C17" s="1" t="s">
        <v>142</v>
      </c>
      <c r="D17" s="1" t="s">
        <v>133</v>
      </c>
      <c r="E17" s="1">
        <v>8</v>
      </c>
      <c r="F17" s="1"/>
      <c r="G17" s="9">
        <v>58760</v>
      </c>
      <c r="H17" s="9"/>
      <c r="I17" s="9">
        <f t="shared" si="0"/>
        <v>358210</v>
      </c>
      <c r="J17" s="45"/>
      <c r="K17" s="38"/>
      <c r="L17" s="1"/>
      <c r="M17" s="1"/>
      <c r="N17" s="1" t="s">
        <v>202</v>
      </c>
      <c r="O17" s="1"/>
      <c r="P17" s="1"/>
      <c r="Q17" s="1"/>
      <c r="R17" s="1"/>
    </row>
    <row r="18" spans="1:18">
      <c r="A18" s="1"/>
      <c r="B18" s="1" t="s">
        <v>148</v>
      </c>
      <c r="C18" s="1" t="s">
        <v>126</v>
      </c>
      <c r="D18" s="1" t="s">
        <v>139</v>
      </c>
      <c r="E18" s="1"/>
      <c r="F18" s="1"/>
      <c r="G18" s="9"/>
      <c r="H18" s="9">
        <v>353447</v>
      </c>
      <c r="I18" s="9">
        <f t="shared" si="0"/>
        <v>4763</v>
      </c>
      <c r="J18" s="1"/>
      <c r="K18" s="38"/>
      <c r="L18" s="1"/>
      <c r="M18" s="1"/>
      <c r="N18" s="1"/>
      <c r="O18" s="1"/>
      <c r="P18" s="1"/>
      <c r="Q18" s="1"/>
      <c r="R18" s="1"/>
    </row>
    <row r="19" spans="1:18">
      <c r="A19" s="1"/>
      <c r="B19" s="1" t="s">
        <v>148</v>
      </c>
      <c r="C19" s="1" t="s">
        <v>126</v>
      </c>
      <c r="D19" s="1" t="s">
        <v>143</v>
      </c>
      <c r="E19" s="1"/>
      <c r="F19" s="1"/>
      <c r="G19" s="9"/>
      <c r="H19" s="9">
        <v>4763</v>
      </c>
      <c r="I19" s="9">
        <f t="shared" si="0"/>
        <v>0</v>
      </c>
      <c r="J19" s="1"/>
      <c r="K19" s="38"/>
      <c r="L19" s="1"/>
      <c r="M19" s="1"/>
      <c r="N19" s="1"/>
      <c r="O19" s="1"/>
      <c r="P19" s="1"/>
      <c r="Q19" s="1"/>
      <c r="R19" s="1"/>
    </row>
    <row r="20" spans="1:18">
      <c r="A20" s="1"/>
      <c r="B20" s="1" t="s">
        <v>192</v>
      </c>
      <c r="C20" s="1" t="s">
        <v>198</v>
      </c>
      <c r="D20" s="1" t="s">
        <v>133</v>
      </c>
      <c r="E20" s="1">
        <v>13</v>
      </c>
      <c r="F20" s="1"/>
      <c r="G20" s="9">
        <v>406800</v>
      </c>
      <c r="H20" s="9"/>
      <c r="I20" s="9">
        <f t="shared" si="0"/>
        <v>406800</v>
      </c>
      <c r="J20" s="1"/>
      <c r="K20" s="38"/>
      <c r="L20" s="1"/>
      <c r="M20" s="1"/>
      <c r="N20" s="1"/>
      <c r="O20" s="1"/>
      <c r="P20" s="1"/>
      <c r="Q20" s="1"/>
      <c r="R20" s="1"/>
    </row>
    <row r="21" spans="1:18">
      <c r="A21" s="1"/>
      <c r="B21" s="1" t="s">
        <v>192</v>
      </c>
      <c r="C21" s="1" t="s">
        <v>191</v>
      </c>
      <c r="D21" s="1" t="s">
        <v>133</v>
      </c>
      <c r="E21" s="1">
        <v>14</v>
      </c>
      <c r="F21" s="1"/>
      <c r="G21" s="9">
        <v>56500</v>
      </c>
      <c r="H21" s="9"/>
      <c r="I21" s="9">
        <f t="shared" si="0"/>
        <v>463300</v>
      </c>
      <c r="J21" s="1"/>
      <c r="K21" s="38"/>
      <c r="L21" s="1"/>
      <c r="M21" s="1"/>
      <c r="N21" s="1"/>
      <c r="O21" s="1"/>
      <c r="P21" s="1"/>
      <c r="Q21" s="1"/>
      <c r="R21" s="1"/>
    </row>
    <row r="22" spans="1:18">
      <c r="A22" s="1"/>
      <c r="B22" s="1" t="s">
        <v>192</v>
      </c>
      <c r="C22" s="1" t="s">
        <v>191</v>
      </c>
      <c r="D22" s="1" t="s">
        <v>133</v>
      </c>
      <c r="E22" s="1">
        <v>15</v>
      </c>
      <c r="F22" s="1"/>
      <c r="G22" s="9">
        <v>79100</v>
      </c>
      <c r="H22" s="9"/>
      <c r="I22" s="9">
        <f t="shared" si="0"/>
        <v>542400</v>
      </c>
      <c r="J22" s="1"/>
      <c r="K22" s="38"/>
      <c r="L22" s="1"/>
      <c r="M22" s="1"/>
      <c r="N22" s="1"/>
      <c r="O22" s="1"/>
      <c r="P22" s="1"/>
      <c r="Q22" s="1"/>
      <c r="R22" s="1"/>
    </row>
    <row r="23" spans="1:18">
      <c r="A23" s="1"/>
      <c r="B23" s="1" t="s">
        <v>192</v>
      </c>
      <c r="C23" s="1" t="s">
        <v>191</v>
      </c>
      <c r="D23" s="1" t="s">
        <v>133</v>
      </c>
      <c r="E23" s="1">
        <v>16</v>
      </c>
      <c r="F23" s="1"/>
      <c r="G23" s="9">
        <v>79100</v>
      </c>
      <c r="H23" s="9"/>
      <c r="I23" s="9">
        <f t="shared" si="0"/>
        <v>621500</v>
      </c>
      <c r="J23" s="1"/>
      <c r="K23" s="38"/>
      <c r="L23" s="1"/>
      <c r="M23" s="1"/>
      <c r="N23" s="1"/>
      <c r="O23" s="1"/>
      <c r="P23" s="1"/>
      <c r="Q23" s="1"/>
      <c r="R23" s="1"/>
    </row>
    <row r="24" spans="1:18">
      <c r="A24" s="1"/>
      <c r="B24" s="1" t="s">
        <v>192</v>
      </c>
      <c r="C24" s="1" t="s">
        <v>191</v>
      </c>
      <c r="D24" s="1" t="s">
        <v>133</v>
      </c>
      <c r="E24" s="1">
        <v>17</v>
      </c>
      <c r="F24" s="1"/>
      <c r="G24" s="9">
        <v>79100</v>
      </c>
      <c r="H24" s="9"/>
      <c r="I24" s="9">
        <f t="shared" si="0"/>
        <v>700600</v>
      </c>
      <c r="J24" s="1"/>
      <c r="K24" s="38"/>
      <c r="L24" s="1"/>
      <c r="M24" s="1"/>
      <c r="N24" s="1"/>
      <c r="O24" s="1"/>
      <c r="P24" s="1"/>
      <c r="Q24" s="1"/>
      <c r="R24" s="1"/>
    </row>
    <row r="25" spans="1:18">
      <c r="A25" s="1"/>
      <c r="B25" s="1"/>
      <c r="C25" s="1"/>
      <c r="D25" s="1"/>
      <c r="E25" s="1"/>
      <c r="F25" s="1"/>
      <c r="G25" s="9"/>
      <c r="H25" s="9"/>
      <c r="I25" s="9"/>
      <c r="J25" s="1"/>
      <c r="K25" s="38"/>
      <c r="L25" s="1"/>
      <c r="M25" s="1"/>
      <c r="N25" s="1"/>
      <c r="O25" s="1"/>
      <c r="P25" s="1"/>
      <c r="Q25" s="1"/>
      <c r="R25" s="1"/>
    </row>
    <row r="26" spans="1:18">
      <c r="A26" s="1"/>
      <c r="B26" s="1"/>
      <c r="C26" s="1"/>
      <c r="D26" s="1"/>
      <c r="E26" s="1"/>
      <c r="F26" s="1"/>
      <c r="G26" s="9"/>
      <c r="H26" s="9"/>
      <c r="I26" s="9"/>
      <c r="J26" s="1"/>
      <c r="K26" s="38"/>
      <c r="L26" s="38"/>
    </row>
    <row r="27" spans="1:18">
      <c r="A27" s="1"/>
      <c r="B27" s="1"/>
      <c r="C27" s="1"/>
      <c r="D27" s="1"/>
      <c r="E27" s="1"/>
      <c r="F27" s="1"/>
      <c r="G27" s="9"/>
      <c r="H27" s="9"/>
      <c r="I27" s="9"/>
      <c r="J27" s="1"/>
      <c r="K27" s="38"/>
      <c r="L27" s="38"/>
    </row>
    <row r="28" spans="1:18">
      <c r="A28" s="1"/>
      <c r="B28" s="1"/>
      <c r="C28" s="1"/>
      <c r="D28" s="1"/>
      <c r="E28" s="1"/>
      <c r="F28" s="1"/>
      <c r="G28" s="9"/>
      <c r="H28" s="9"/>
      <c r="I28" s="9"/>
      <c r="J28" s="1"/>
      <c r="K28" s="38"/>
      <c r="L28" s="38"/>
    </row>
    <row r="29" spans="1:18">
      <c r="A29" s="1"/>
      <c r="B29" s="1"/>
      <c r="C29" s="1"/>
      <c r="D29" s="1"/>
      <c r="E29" s="1"/>
      <c r="F29" s="1"/>
      <c r="G29" s="9"/>
      <c r="H29" s="9"/>
      <c r="I29" s="9"/>
      <c r="J29" s="1"/>
      <c r="K29" s="38"/>
      <c r="L29" s="38"/>
    </row>
    <row r="30" spans="1:18">
      <c r="A30" s="1"/>
      <c r="B30" s="1"/>
      <c r="C30" s="1"/>
      <c r="D30" s="1"/>
      <c r="E30" s="1"/>
      <c r="F30" s="1"/>
      <c r="G30" s="9"/>
      <c r="H30" s="9"/>
      <c r="I30" s="9"/>
      <c r="J30" s="1"/>
      <c r="K30" s="38"/>
      <c r="L30" s="38"/>
    </row>
    <row r="31" spans="1:18">
      <c r="A31" s="1"/>
      <c r="B31" s="1"/>
      <c r="C31" s="1"/>
      <c r="D31" s="1"/>
      <c r="E31" s="1"/>
      <c r="F31" s="1"/>
      <c r="G31" s="9"/>
      <c r="H31" s="9"/>
      <c r="I31" s="9"/>
      <c r="J31" s="1"/>
      <c r="K31" s="38"/>
      <c r="L31" s="38"/>
    </row>
    <row r="32" spans="1:18">
      <c r="A32" s="1"/>
      <c r="B32" s="1"/>
      <c r="C32" s="1"/>
      <c r="D32" s="1"/>
      <c r="E32" s="1"/>
      <c r="F32" s="1"/>
      <c r="G32" s="9"/>
      <c r="H32" s="9"/>
      <c r="I32" s="9"/>
      <c r="J32" s="1"/>
      <c r="K32" s="38"/>
      <c r="L32" s="38"/>
    </row>
    <row r="33" spans="11:12">
      <c r="K33" s="38"/>
      <c r="L33" s="38"/>
    </row>
  </sheetData>
  <mergeCells count="1">
    <mergeCell ref="A1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C8" sqref="C8"/>
    </sheetView>
  </sheetViews>
  <sheetFormatPr defaultRowHeight="15"/>
  <cols>
    <col min="1" max="1" width="2" customWidth="1"/>
    <col min="2" max="3" width="8.140625" bestFit="1" customWidth="1"/>
    <col min="4" max="4" width="40.5703125" customWidth="1"/>
    <col min="5" max="5" width="7.140625" customWidth="1"/>
    <col min="6" max="6" width="4.7109375" customWidth="1"/>
    <col min="7" max="7" width="11.5703125" style="6" bestFit="1" customWidth="1"/>
    <col min="8" max="8" width="12.5703125" style="12" bestFit="1" customWidth="1"/>
    <col min="9" max="9" width="11.5703125" style="12" customWidth="1"/>
    <col min="10" max="10" width="24.5703125" bestFit="1" customWidth="1"/>
  </cols>
  <sheetData>
    <row r="1" spans="1:13">
      <c r="A1" s="46" t="s">
        <v>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5.75" thickBo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ht="15.75" thickBot="1"/>
    <row r="4" spans="1:13" ht="15.75" thickBot="1">
      <c r="A4" s="5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13</v>
      </c>
      <c r="G4" s="7" t="s">
        <v>6</v>
      </c>
      <c r="H4" s="37" t="s">
        <v>7</v>
      </c>
      <c r="I4" s="37" t="s">
        <v>8</v>
      </c>
      <c r="J4" s="3" t="s">
        <v>9</v>
      </c>
      <c r="K4" s="4"/>
    </row>
    <row r="5" spans="1:13">
      <c r="A5" s="2"/>
      <c r="B5" s="2"/>
      <c r="C5" s="2"/>
      <c r="D5" s="2"/>
      <c r="E5" s="2"/>
      <c r="F5" s="2"/>
      <c r="G5" s="8"/>
      <c r="H5" s="13"/>
      <c r="I5" s="13"/>
      <c r="J5" s="2"/>
      <c r="K5" s="2"/>
    </row>
    <row r="6" spans="1:13">
      <c r="A6" s="1"/>
      <c r="B6" s="1"/>
      <c r="C6" s="1"/>
      <c r="D6" s="1" t="s">
        <v>21</v>
      </c>
      <c r="E6" s="1"/>
      <c r="F6" s="1">
        <v>1</v>
      </c>
      <c r="G6" s="9">
        <v>169500</v>
      </c>
      <c r="H6" s="10"/>
      <c r="I6" s="10">
        <v>169500</v>
      </c>
      <c r="J6" s="1"/>
      <c r="K6" s="1"/>
    </row>
    <row r="7" spans="1:13">
      <c r="A7" s="1"/>
      <c r="B7" s="1" t="s">
        <v>151</v>
      </c>
      <c r="C7" s="1" t="s">
        <v>50</v>
      </c>
      <c r="D7" s="1" t="s">
        <v>51</v>
      </c>
      <c r="E7" s="1"/>
      <c r="F7" s="1"/>
      <c r="G7" s="9"/>
      <c r="H7" s="10">
        <v>50000</v>
      </c>
      <c r="I7" s="10">
        <f>I6+G7-H7</f>
        <v>119500</v>
      </c>
      <c r="J7" s="1" t="s">
        <v>27</v>
      </c>
      <c r="K7" s="1"/>
    </row>
    <row r="8" spans="1:13">
      <c r="A8" s="1"/>
      <c r="B8" s="1" t="s">
        <v>120</v>
      </c>
      <c r="C8" s="1" t="s">
        <v>119</v>
      </c>
      <c r="D8" s="1" t="s">
        <v>51</v>
      </c>
      <c r="E8" s="1"/>
      <c r="F8" s="1"/>
      <c r="G8" s="9"/>
      <c r="H8" s="10">
        <v>50000</v>
      </c>
      <c r="I8" s="10">
        <f>I7+G8-H8</f>
        <v>69500</v>
      </c>
      <c r="J8" s="1"/>
      <c r="K8" s="1"/>
    </row>
    <row r="9" spans="1:13">
      <c r="A9" s="1"/>
      <c r="B9" s="1"/>
      <c r="C9" s="1"/>
      <c r="D9" s="1"/>
      <c r="E9" s="1"/>
      <c r="F9" s="1"/>
      <c r="G9" s="9"/>
      <c r="H9" s="10"/>
      <c r="I9" s="10"/>
      <c r="J9" s="1"/>
      <c r="K9" s="1"/>
    </row>
    <row r="10" spans="1:13">
      <c r="A10" s="1"/>
      <c r="B10" s="1"/>
      <c r="C10" s="1"/>
      <c r="D10" s="1"/>
      <c r="E10" s="1"/>
      <c r="F10" s="1"/>
      <c r="G10" s="9"/>
      <c r="H10" s="10"/>
      <c r="I10" s="10"/>
      <c r="J10" s="1"/>
      <c r="K10" s="1"/>
    </row>
    <row r="11" spans="1:13">
      <c r="A11" s="1"/>
      <c r="B11" s="1"/>
      <c r="C11" s="1"/>
      <c r="D11" s="1"/>
      <c r="E11" s="1"/>
      <c r="F11" s="1"/>
      <c r="G11" s="9"/>
      <c r="H11" s="10"/>
      <c r="I11" s="10"/>
      <c r="J11" s="1"/>
      <c r="K11" s="1"/>
    </row>
    <row r="12" spans="1:13">
      <c r="A12" s="1"/>
      <c r="B12" s="1"/>
      <c r="C12" s="1"/>
      <c r="D12" s="1"/>
      <c r="E12" s="1"/>
      <c r="F12" s="1"/>
      <c r="G12" s="9"/>
      <c r="H12" s="10"/>
      <c r="I12" s="10"/>
      <c r="J12" s="1"/>
      <c r="K12" s="1"/>
    </row>
    <row r="13" spans="1:13">
      <c r="A13" s="1"/>
      <c r="B13" s="1"/>
      <c r="C13" s="1"/>
      <c r="D13" s="1"/>
      <c r="E13" s="1"/>
      <c r="F13" s="1"/>
      <c r="G13" s="9"/>
      <c r="H13" s="10"/>
      <c r="I13" s="10"/>
      <c r="J13" s="1"/>
      <c r="K13" s="1"/>
    </row>
    <row r="14" spans="1:13">
      <c r="A14" s="1"/>
      <c r="B14" s="1"/>
      <c r="C14" s="1"/>
      <c r="D14" s="1"/>
      <c r="E14" s="1"/>
      <c r="F14" s="1"/>
      <c r="G14" s="9"/>
      <c r="H14" s="10"/>
      <c r="I14" s="10"/>
      <c r="J14" s="1"/>
      <c r="K14" s="1"/>
    </row>
    <row r="15" spans="1:13">
      <c r="A15" s="1"/>
      <c r="B15" s="1"/>
      <c r="C15" s="1"/>
      <c r="D15" s="1"/>
      <c r="E15" s="1"/>
      <c r="F15" s="1"/>
      <c r="G15" s="9"/>
      <c r="H15" s="10"/>
      <c r="I15" s="10"/>
      <c r="J15" s="1"/>
      <c r="K15" s="1"/>
    </row>
    <row r="16" spans="1:13">
      <c r="A16" s="1"/>
      <c r="B16" s="1"/>
      <c r="C16" s="1"/>
      <c r="D16" s="1"/>
      <c r="E16" s="1"/>
      <c r="F16" s="1"/>
      <c r="G16" s="9"/>
      <c r="H16" s="10"/>
      <c r="I16" s="10"/>
      <c r="J16" s="1"/>
      <c r="K16" s="1"/>
    </row>
    <row r="17" spans="1:11">
      <c r="A17" s="1"/>
      <c r="B17" s="1"/>
      <c r="C17" s="1"/>
      <c r="D17" s="1"/>
      <c r="E17" s="1"/>
      <c r="F17" s="1"/>
      <c r="G17" s="9"/>
      <c r="H17" s="10"/>
      <c r="I17" s="10"/>
      <c r="J17" s="1"/>
      <c r="K17" s="1"/>
    </row>
    <row r="18" spans="1:11">
      <c r="A18" s="1"/>
      <c r="B18" s="1"/>
      <c r="C18" s="1"/>
      <c r="D18" s="1"/>
      <c r="E18" s="1"/>
      <c r="F18" s="1"/>
      <c r="G18" s="9"/>
      <c r="H18" s="10"/>
      <c r="I18" s="10"/>
      <c r="J18" s="1"/>
      <c r="K18" s="1"/>
    </row>
    <row r="19" spans="1:11">
      <c r="A19" s="1"/>
      <c r="B19" s="1"/>
      <c r="C19" s="1"/>
      <c r="D19" s="1"/>
      <c r="E19" s="1"/>
      <c r="F19" s="1"/>
      <c r="G19" s="9"/>
      <c r="H19" s="10"/>
      <c r="I19" s="10"/>
      <c r="J19" s="1"/>
      <c r="K19" s="1"/>
    </row>
    <row r="20" spans="1:11">
      <c r="A20" s="1"/>
      <c r="B20" s="1"/>
      <c r="C20" s="1"/>
      <c r="D20" s="1"/>
      <c r="E20" s="1"/>
      <c r="F20" s="1"/>
      <c r="G20" s="9"/>
      <c r="H20" s="10"/>
      <c r="I20" s="10"/>
      <c r="J20" s="1"/>
      <c r="K20" s="1"/>
    </row>
    <row r="21" spans="1:11">
      <c r="A21" s="1"/>
      <c r="B21" s="1"/>
      <c r="C21" s="1"/>
      <c r="D21" s="1"/>
      <c r="E21" s="1"/>
      <c r="F21" s="1"/>
      <c r="G21" s="9"/>
      <c r="H21" s="10"/>
      <c r="I21" s="10"/>
      <c r="J21" s="1"/>
      <c r="K21" s="1"/>
    </row>
    <row r="22" spans="1:11">
      <c r="A22" s="1"/>
      <c r="B22" s="1"/>
      <c r="C22" s="1"/>
      <c r="D22" s="1"/>
      <c r="E22" s="1"/>
      <c r="F22" s="1"/>
      <c r="G22" s="9"/>
      <c r="H22" s="10"/>
      <c r="I22" s="10"/>
      <c r="J22" s="1"/>
      <c r="K22" s="1"/>
    </row>
    <row r="23" spans="1:11">
      <c r="A23" s="1"/>
      <c r="B23" s="1"/>
      <c r="C23" s="1"/>
      <c r="D23" s="1"/>
      <c r="E23" s="1"/>
      <c r="F23" s="1"/>
      <c r="G23" s="9"/>
      <c r="H23" s="10"/>
      <c r="I23" s="10"/>
      <c r="J23" s="1"/>
      <c r="K23" s="1"/>
    </row>
    <row r="24" spans="1:11">
      <c r="A24" s="1"/>
      <c r="B24" s="1"/>
      <c r="C24" s="1"/>
      <c r="D24" s="1"/>
      <c r="E24" s="1"/>
      <c r="F24" s="1"/>
      <c r="G24" s="9"/>
      <c r="H24" s="10"/>
      <c r="I24" s="10"/>
      <c r="J24" s="1"/>
      <c r="K24" s="1"/>
    </row>
    <row r="25" spans="1:11">
      <c r="A25" s="1"/>
      <c r="B25" s="1"/>
      <c r="C25" s="1"/>
      <c r="D25" s="1"/>
      <c r="E25" s="1"/>
      <c r="F25" s="1"/>
      <c r="G25" s="9"/>
      <c r="H25" s="10"/>
      <c r="I25" s="10"/>
      <c r="J25" s="1"/>
      <c r="K25" s="1"/>
    </row>
    <row r="26" spans="1:11">
      <c r="A26" s="1"/>
      <c r="B26" s="1"/>
      <c r="C26" s="1"/>
      <c r="D26" s="1"/>
      <c r="E26" s="1"/>
      <c r="F26" s="1"/>
      <c r="G26" s="9"/>
      <c r="H26" s="10"/>
      <c r="I26" s="10"/>
      <c r="J26" s="1"/>
      <c r="K26" s="1"/>
    </row>
    <row r="27" spans="1:11">
      <c r="A27" s="1"/>
      <c r="B27" s="1"/>
      <c r="C27" s="1"/>
      <c r="D27" s="1"/>
      <c r="E27" s="1"/>
      <c r="F27" s="1"/>
      <c r="G27" s="9"/>
      <c r="H27" s="10"/>
      <c r="I27" s="10"/>
      <c r="J27" s="1"/>
      <c r="K27" s="1"/>
    </row>
    <row r="28" spans="1:11">
      <c r="A28" s="1"/>
      <c r="B28" s="1"/>
      <c r="C28" s="1"/>
      <c r="D28" s="1"/>
      <c r="E28" s="1"/>
      <c r="F28" s="1"/>
      <c r="G28" s="9"/>
      <c r="H28" s="10"/>
      <c r="I28" s="10"/>
      <c r="J28" s="1"/>
      <c r="K28" s="1"/>
    </row>
    <row r="29" spans="1:11">
      <c r="A29" s="1"/>
      <c r="B29" s="1"/>
      <c r="C29" s="1"/>
      <c r="D29" s="1"/>
      <c r="E29" s="1"/>
      <c r="F29" s="1"/>
      <c r="G29" s="9"/>
      <c r="H29" s="10"/>
      <c r="I29" s="10"/>
      <c r="J29" s="1"/>
      <c r="K29" s="1"/>
    </row>
    <row r="30" spans="1:11">
      <c r="A30" s="1"/>
      <c r="B30" s="1"/>
      <c r="C30" s="1"/>
      <c r="D30" s="1"/>
      <c r="E30" s="1"/>
      <c r="F30" s="1"/>
      <c r="G30" s="9"/>
      <c r="H30" s="10"/>
      <c r="I30" s="10"/>
      <c r="J30" s="1"/>
      <c r="K30" s="1"/>
    </row>
    <row r="31" spans="1:11">
      <c r="A31" s="1"/>
      <c r="B31" s="1"/>
      <c r="C31" s="1"/>
      <c r="D31" s="1"/>
      <c r="E31" s="1"/>
      <c r="F31" s="1"/>
      <c r="G31" s="9"/>
      <c r="H31" s="10"/>
      <c r="I31" s="10"/>
      <c r="J31" s="1"/>
      <c r="K31" s="1"/>
    </row>
  </sheetData>
  <mergeCells count="1">
    <mergeCell ref="A1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7"/>
  <sheetViews>
    <sheetView topLeftCell="A16" workbookViewId="0">
      <selection activeCell="E31" sqref="E31"/>
    </sheetView>
  </sheetViews>
  <sheetFormatPr defaultRowHeight="15"/>
  <cols>
    <col min="1" max="1" width="3.7109375" customWidth="1"/>
    <col min="2" max="3" width="8.140625" bestFit="1" customWidth="1"/>
    <col min="4" max="4" width="31.42578125" customWidth="1"/>
    <col min="5" max="5" width="7.140625" style="27" customWidth="1"/>
    <col min="6" max="6" width="9" bestFit="1" customWidth="1"/>
    <col min="7" max="8" width="13.28515625" style="12" bestFit="1" customWidth="1"/>
    <col min="9" max="9" width="14.42578125" style="6" customWidth="1"/>
    <col min="10" max="10" width="58.7109375" bestFit="1" customWidth="1"/>
  </cols>
  <sheetData>
    <row r="1" spans="1:13">
      <c r="A1" s="46" t="s">
        <v>53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5.75" thickBo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ht="15.75" thickBot="1"/>
    <row r="4" spans="1:13" ht="15.75" thickBot="1">
      <c r="A4" s="5" t="s">
        <v>1</v>
      </c>
      <c r="B4" s="3" t="s">
        <v>2</v>
      </c>
      <c r="C4" s="3" t="s">
        <v>3</v>
      </c>
      <c r="D4" s="3" t="s">
        <v>4</v>
      </c>
      <c r="E4" s="28" t="s">
        <v>5</v>
      </c>
      <c r="F4" s="3" t="s">
        <v>80</v>
      </c>
      <c r="G4" s="26" t="s">
        <v>95</v>
      </c>
      <c r="H4" s="26" t="s">
        <v>96</v>
      </c>
      <c r="I4" s="7" t="s">
        <v>8</v>
      </c>
      <c r="J4" s="3" t="s">
        <v>9</v>
      </c>
      <c r="K4" s="4"/>
    </row>
    <row r="5" spans="1:13">
      <c r="A5" s="2"/>
      <c r="B5" s="2"/>
      <c r="C5" s="2"/>
      <c r="D5" s="2"/>
      <c r="E5" s="29"/>
      <c r="F5" s="2"/>
      <c r="G5" s="13"/>
      <c r="H5" s="13"/>
      <c r="I5" s="8"/>
      <c r="J5" s="2"/>
      <c r="K5" s="2"/>
    </row>
    <row r="6" spans="1:13">
      <c r="A6" s="1"/>
      <c r="B6" s="1"/>
      <c r="C6" s="1" t="s">
        <v>54</v>
      </c>
      <c r="D6" s="1" t="s">
        <v>55</v>
      </c>
      <c r="E6" s="30"/>
      <c r="F6" s="1"/>
      <c r="G6" s="10"/>
      <c r="H6" s="10">
        <v>100000</v>
      </c>
      <c r="I6" s="9">
        <v>100000</v>
      </c>
      <c r="J6" s="1" t="s">
        <v>81</v>
      </c>
      <c r="K6" s="1"/>
    </row>
    <row r="7" spans="1:13">
      <c r="A7" s="1"/>
      <c r="B7" s="1"/>
      <c r="C7" s="1" t="s">
        <v>56</v>
      </c>
      <c r="D7" s="1" t="s">
        <v>55</v>
      </c>
      <c r="E7" s="30"/>
      <c r="F7" s="1"/>
      <c r="G7" s="10"/>
      <c r="H7" s="10">
        <v>100000</v>
      </c>
      <c r="I7" s="9">
        <f t="shared" ref="I7:I15" si="0">I6+H7-G7</f>
        <v>200000</v>
      </c>
      <c r="J7" s="1" t="s">
        <v>81</v>
      </c>
      <c r="K7" s="1"/>
    </row>
    <row r="8" spans="1:13">
      <c r="A8" s="1"/>
      <c r="B8" s="1"/>
      <c r="C8" s="1" t="s">
        <v>57</v>
      </c>
      <c r="D8" s="1" t="s">
        <v>55</v>
      </c>
      <c r="E8" s="30"/>
      <c r="F8" s="1"/>
      <c r="G8" s="10"/>
      <c r="H8" s="10">
        <v>70000</v>
      </c>
      <c r="I8" s="9">
        <f t="shared" si="0"/>
        <v>270000</v>
      </c>
      <c r="J8" s="1" t="s">
        <v>81</v>
      </c>
      <c r="K8" s="1"/>
    </row>
    <row r="9" spans="1:13">
      <c r="A9" s="1"/>
      <c r="B9" s="1"/>
      <c r="C9" s="1" t="s">
        <v>58</v>
      </c>
      <c r="D9" s="1" t="s">
        <v>60</v>
      </c>
      <c r="E9" s="30"/>
      <c r="F9" s="1"/>
      <c r="G9" s="10">
        <v>200000</v>
      </c>
      <c r="H9" s="10"/>
      <c r="I9" s="9">
        <f t="shared" si="0"/>
        <v>70000</v>
      </c>
      <c r="J9" s="1"/>
      <c r="K9" s="1"/>
    </row>
    <row r="10" spans="1:13">
      <c r="A10" s="1"/>
      <c r="B10" s="1"/>
      <c r="C10" s="1" t="s">
        <v>59</v>
      </c>
      <c r="D10" s="1" t="s">
        <v>60</v>
      </c>
      <c r="E10" s="30"/>
      <c r="F10" s="1"/>
      <c r="G10" s="10">
        <v>70000</v>
      </c>
      <c r="H10" s="10"/>
      <c r="I10" s="9">
        <f t="shared" si="0"/>
        <v>0</v>
      </c>
      <c r="J10" s="1"/>
      <c r="K10" s="1"/>
    </row>
    <row r="11" spans="1:13">
      <c r="A11" s="1"/>
      <c r="B11" s="1"/>
      <c r="C11" s="1" t="s">
        <v>61</v>
      </c>
      <c r="D11" s="1" t="s">
        <v>66</v>
      </c>
      <c r="E11" s="30"/>
      <c r="F11" s="1"/>
      <c r="G11" s="10"/>
      <c r="H11" s="10">
        <v>500000</v>
      </c>
      <c r="I11" s="9">
        <f t="shared" si="0"/>
        <v>500000</v>
      </c>
      <c r="J11" s="1" t="s">
        <v>62</v>
      </c>
      <c r="K11" s="1"/>
    </row>
    <row r="12" spans="1:13">
      <c r="A12" s="1"/>
      <c r="B12" s="1"/>
      <c r="C12" s="1" t="s">
        <v>63</v>
      </c>
      <c r="D12" s="1" t="s">
        <v>68</v>
      </c>
      <c r="E12" s="30"/>
      <c r="F12" s="1"/>
      <c r="G12" s="10">
        <v>950000</v>
      </c>
      <c r="H12" s="10"/>
      <c r="I12" s="9">
        <f t="shared" si="0"/>
        <v>-450000</v>
      </c>
      <c r="J12" s="1" t="s">
        <v>64</v>
      </c>
      <c r="K12" s="1"/>
    </row>
    <row r="13" spans="1:13">
      <c r="A13" s="1"/>
      <c r="B13" s="1"/>
      <c r="C13" s="1" t="s">
        <v>65</v>
      </c>
      <c r="D13" s="1" t="s">
        <v>69</v>
      </c>
      <c r="E13" s="30"/>
      <c r="F13" s="11">
        <v>53454581</v>
      </c>
      <c r="G13" s="10"/>
      <c r="H13" s="10">
        <v>200000</v>
      </c>
      <c r="I13" s="9">
        <f t="shared" si="0"/>
        <v>-250000</v>
      </c>
      <c r="J13" s="1"/>
      <c r="K13" s="1"/>
    </row>
    <row r="14" spans="1:13">
      <c r="A14" s="1"/>
      <c r="B14" s="1"/>
      <c r="C14" s="1" t="s">
        <v>67</v>
      </c>
      <c r="D14" s="1" t="s">
        <v>69</v>
      </c>
      <c r="E14" s="30"/>
      <c r="F14" s="1"/>
      <c r="G14" s="10"/>
      <c r="H14" s="10">
        <v>150000</v>
      </c>
      <c r="I14" s="9">
        <f t="shared" si="0"/>
        <v>-100000</v>
      </c>
      <c r="J14" s="1"/>
      <c r="K14" s="1"/>
    </row>
    <row r="15" spans="1:13">
      <c r="A15" s="1"/>
      <c r="B15" s="1"/>
      <c r="C15" s="1" t="s">
        <v>67</v>
      </c>
      <c r="D15" s="1" t="s">
        <v>97</v>
      </c>
      <c r="E15" s="30"/>
      <c r="F15" s="1"/>
      <c r="G15" s="10">
        <v>150000</v>
      </c>
      <c r="H15" s="10"/>
      <c r="I15" s="9">
        <f t="shared" si="0"/>
        <v>-250000</v>
      </c>
      <c r="J15" s="1" t="s">
        <v>70</v>
      </c>
      <c r="K15" s="1"/>
    </row>
    <row r="16" spans="1:13">
      <c r="A16" s="1"/>
      <c r="B16" s="1"/>
      <c r="C16" s="1"/>
      <c r="D16" s="1"/>
      <c r="E16" s="30"/>
      <c r="F16" s="1"/>
      <c r="G16" s="10"/>
      <c r="H16" s="10"/>
      <c r="I16" s="9"/>
      <c r="J16" s="1" t="s">
        <v>70</v>
      </c>
      <c r="K16" s="1"/>
    </row>
    <row r="17" spans="1:11">
      <c r="A17" s="1"/>
      <c r="B17" s="1"/>
      <c r="C17" s="1"/>
      <c r="D17" s="1"/>
      <c r="E17" s="30"/>
      <c r="F17" s="1"/>
      <c r="G17" s="10"/>
      <c r="H17" s="10"/>
      <c r="I17" s="9"/>
      <c r="J17" s="1"/>
      <c r="K17" s="1"/>
    </row>
    <row r="18" spans="1:11">
      <c r="A18" s="18"/>
      <c r="B18" s="18"/>
      <c r="C18" s="18"/>
      <c r="D18" s="18"/>
      <c r="E18" s="31"/>
      <c r="F18" s="18"/>
      <c r="G18" s="16">
        <f>SUM(G9:G16)</f>
        <v>1370000</v>
      </c>
      <c r="H18" s="16">
        <f>SUM(H6:H17)</f>
        <v>1120000</v>
      </c>
      <c r="I18" s="17">
        <f>H18-G18</f>
        <v>-250000</v>
      </c>
      <c r="J18" s="18" t="s">
        <v>102</v>
      </c>
      <c r="K18" s="1"/>
    </row>
    <row r="19" spans="1:11">
      <c r="A19" s="18"/>
      <c r="B19" s="18"/>
      <c r="C19" s="18"/>
      <c r="D19" s="18"/>
      <c r="E19" s="31"/>
      <c r="F19" s="18"/>
      <c r="G19" s="14"/>
      <c r="H19" s="14"/>
      <c r="I19" s="15"/>
      <c r="J19" s="18"/>
      <c r="K19" s="1"/>
    </row>
    <row r="20" spans="1:11">
      <c r="A20" s="1"/>
      <c r="B20" s="1" t="s">
        <v>72</v>
      </c>
      <c r="C20" s="1" t="s">
        <v>73</v>
      </c>
      <c r="D20" s="1" t="s">
        <v>74</v>
      </c>
      <c r="E20" s="30">
        <v>1</v>
      </c>
      <c r="F20" s="1"/>
      <c r="G20" s="10"/>
      <c r="H20" s="10">
        <v>490939.8</v>
      </c>
      <c r="I20" s="9">
        <f>I18+H20-G20</f>
        <v>240939.8</v>
      </c>
      <c r="J20" s="1"/>
      <c r="K20" s="1"/>
    </row>
    <row r="21" spans="1:11">
      <c r="A21" s="1"/>
      <c r="B21" s="1" t="s">
        <v>75</v>
      </c>
      <c r="C21" s="1" t="s">
        <v>76</v>
      </c>
      <c r="D21" s="20" t="s">
        <v>74</v>
      </c>
      <c r="E21" s="30">
        <v>2</v>
      </c>
      <c r="F21" s="1"/>
      <c r="G21" s="10"/>
      <c r="H21" s="19">
        <v>1314208.22</v>
      </c>
      <c r="I21" s="9"/>
      <c r="J21" s="1" t="s">
        <v>206</v>
      </c>
      <c r="K21" s="1"/>
    </row>
    <row r="22" spans="1:11">
      <c r="A22" s="1"/>
      <c r="B22" s="1" t="s">
        <v>77</v>
      </c>
      <c r="C22" s="1" t="s">
        <v>78</v>
      </c>
      <c r="D22" s="20" t="s">
        <v>74</v>
      </c>
      <c r="E22" s="30">
        <v>3</v>
      </c>
      <c r="F22" s="1"/>
      <c r="G22" s="10"/>
      <c r="H22" s="19">
        <v>2041586.82</v>
      </c>
      <c r="I22" s="9"/>
      <c r="J22" s="1" t="s">
        <v>206</v>
      </c>
      <c r="K22" s="1"/>
    </row>
    <row r="23" spans="1:11">
      <c r="A23" s="1"/>
      <c r="B23" s="1" t="s">
        <v>79</v>
      </c>
      <c r="C23" s="1" t="s">
        <v>10</v>
      </c>
      <c r="D23" s="20" t="s">
        <v>74</v>
      </c>
      <c r="E23" s="30">
        <v>4</v>
      </c>
      <c r="F23" s="1"/>
      <c r="G23" s="10"/>
      <c r="H23" s="19">
        <v>2269443.5299999998</v>
      </c>
      <c r="I23" s="9"/>
      <c r="J23" s="1" t="s">
        <v>206</v>
      </c>
      <c r="K23" s="1"/>
    </row>
    <row r="24" spans="1:11">
      <c r="A24" s="1"/>
      <c r="B24" s="1" t="s">
        <v>88</v>
      </c>
      <c r="C24" s="1" t="s">
        <v>71</v>
      </c>
      <c r="D24" s="1" t="s">
        <v>83</v>
      </c>
      <c r="E24" s="30"/>
      <c r="F24" s="1"/>
      <c r="G24" s="10"/>
      <c r="H24" s="10">
        <v>1500000</v>
      </c>
      <c r="I24" s="9">
        <f>I20+H24</f>
        <v>1740939.8</v>
      </c>
      <c r="J24" s="1"/>
      <c r="K24" s="1"/>
    </row>
    <row r="25" spans="1:11">
      <c r="A25" s="1"/>
      <c r="B25" s="1" t="s">
        <v>131</v>
      </c>
      <c r="C25" s="1" t="s">
        <v>84</v>
      </c>
      <c r="D25" s="1" t="s">
        <v>85</v>
      </c>
      <c r="E25" s="30"/>
      <c r="F25" s="1"/>
      <c r="G25" s="10">
        <v>1500000</v>
      </c>
      <c r="H25" s="10"/>
      <c r="I25" s="9">
        <f>I24+H25-G25</f>
        <v>240939.80000000005</v>
      </c>
      <c r="J25" s="1"/>
      <c r="K25" s="1"/>
    </row>
    <row r="26" spans="1:11">
      <c r="A26" s="1"/>
      <c r="B26" s="1" t="s">
        <v>131</v>
      </c>
      <c r="C26" s="1" t="s">
        <v>84</v>
      </c>
      <c r="D26" s="1" t="s">
        <v>74</v>
      </c>
      <c r="E26" s="30">
        <v>3</v>
      </c>
      <c r="F26" s="1"/>
      <c r="G26" s="10"/>
      <c r="H26" s="10">
        <v>27000</v>
      </c>
      <c r="I26" s="9">
        <f t="shared" ref="I26:I44" si="1">I25+H26-G26</f>
        <v>267939.80000000005</v>
      </c>
      <c r="J26" s="1" t="s">
        <v>114</v>
      </c>
      <c r="K26" s="1"/>
    </row>
    <row r="27" spans="1:11">
      <c r="A27" s="1"/>
      <c r="B27" s="1" t="s">
        <v>130</v>
      </c>
      <c r="C27" s="1" t="s">
        <v>82</v>
      </c>
      <c r="D27" s="1" t="s">
        <v>101</v>
      </c>
      <c r="E27" s="30"/>
      <c r="F27" s="1"/>
      <c r="G27" s="10"/>
      <c r="H27" s="10">
        <v>150000</v>
      </c>
      <c r="I27" s="9">
        <f t="shared" si="1"/>
        <v>417939.80000000005</v>
      </c>
      <c r="J27" s="1" t="s">
        <v>103</v>
      </c>
      <c r="K27" s="1"/>
    </row>
    <row r="28" spans="1:11">
      <c r="A28" s="1"/>
      <c r="B28" s="1" t="s">
        <v>132</v>
      </c>
      <c r="C28" s="1" t="s">
        <v>98</v>
      </c>
      <c r="D28" s="1" t="s">
        <v>99</v>
      </c>
      <c r="E28" s="30"/>
      <c r="F28" s="1"/>
      <c r="G28" s="10"/>
      <c r="H28" s="10">
        <v>10000</v>
      </c>
      <c r="I28" s="9">
        <f t="shared" si="1"/>
        <v>427939.80000000005</v>
      </c>
      <c r="J28" s="1" t="s">
        <v>100</v>
      </c>
      <c r="K28" s="1"/>
    </row>
    <row r="29" spans="1:11">
      <c r="A29" s="1"/>
      <c r="B29" s="1" t="s">
        <v>93</v>
      </c>
      <c r="C29" s="1" t="s">
        <v>94</v>
      </c>
      <c r="D29" s="1" t="s">
        <v>74</v>
      </c>
      <c r="E29" s="30">
        <v>4</v>
      </c>
      <c r="F29" s="1"/>
      <c r="G29" s="10"/>
      <c r="H29" s="10">
        <v>175000</v>
      </c>
      <c r="I29" s="9">
        <f t="shared" si="1"/>
        <v>602939.80000000005</v>
      </c>
      <c r="J29" s="1" t="s">
        <v>180</v>
      </c>
      <c r="K29" s="1"/>
    </row>
    <row r="30" spans="1:11">
      <c r="A30" s="1"/>
      <c r="B30" s="1" t="s">
        <v>89</v>
      </c>
      <c r="C30" s="1" t="s">
        <v>86</v>
      </c>
      <c r="D30" s="1" t="s">
        <v>104</v>
      </c>
      <c r="E30" s="30" t="s">
        <v>205</v>
      </c>
      <c r="F30" s="1"/>
      <c r="G30" s="10"/>
      <c r="H30" s="10">
        <v>3700</v>
      </c>
      <c r="I30" s="9"/>
      <c r="J30" s="21" t="s">
        <v>105</v>
      </c>
      <c r="K30" s="1"/>
    </row>
    <row r="31" spans="1:11">
      <c r="A31" s="1"/>
      <c r="B31" s="1" t="s">
        <v>89</v>
      </c>
      <c r="C31" s="1" t="s">
        <v>86</v>
      </c>
      <c r="D31" s="1" t="s">
        <v>87</v>
      </c>
      <c r="E31" s="30"/>
      <c r="F31" s="1"/>
      <c r="G31" s="10">
        <v>140000</v>
      </c>
      <c r="H31" s="10"/>
      <c r="I31" s="9">
        <f>I29+H31-G31</f>
        <v>462939.80000000005</v>
      </c>
      <c r="J31" s="1"/>
      <c r="K31" s="1"/>
    </row>
    <row r="32" spans="1:11">
      <c r="A32" s="1"/>
      <c r="B32" s="1" t="s">
        <v>90</v>
      </c>
      <c r="C32" s="1" t="s">
        <v>24</v>
      </c>
      <c r="D32" s="1" t="s">
        <v>87</v>
      </c>
      <c r="E32" s="30"/>
      <c r="F32" s="1"/>
      <c r="G32" s="10">
        <v>50000</v>
      </c>
      <c r="H32" s="10"/>
      <c r="I32" s="9">
        <f t="shared" si="1"/>
        <v>412939.80000000005</v>
      </c>
      <c r="J32" s="1"/>
      <c r="K32" s="1"/>
    </row>
    <row r="33" spans="1:11">
      <c r="A33" s="1"/>
      <c r="B33" s="1" t="s">
        <v>91</v>
      </c>
      <c r="C33" s="1" t="s">
        <v>38</v>
      </c>
      <c r="D33" s="1" t="s">
        <v>87</v>
      </c>
      <c r="E33" s="30"/>
      <c r="F33" s="1"/>
      <c r="G33" s="10">
        <v>100000</v>
      </c>
      <c r="H33" s="10"/>
      <c r="I33" s="9">
        <f t="shared" si="1"/>
        <v>312939.80000000005</v>
      </c>
      <c r="J33" s="1"/>
      <c r="K33" s="1"/>
    </row>
    <row r="34" spans="1:11">
      <c r="A34" s="1"/>
      <c r="B34" s="1" t="s">
        <v>92</v>
      </c>
      <c r="C34" s="1" t="s">
        <v>40</v>
      </c>
      <c r="D34" s="1" t="s">
        <v>87</v>
      </c>
      <c r="E34" s="30"/>
      <c r="F34" s="1"/>
      <c r="G34" s="10">
        <v>50000</v>
      </c>
      <c r="H34" s="10"/>
      <c r="I34" s="9">
        <f t="shared" si="1"/>
        <v>262939.80000000005</v>
      </c>
      <c r="J34" s="1"/>
      <c r="K34" s="1"/>
    </row>
    <row r="35" spans="1:11">
      <c r="A35" s="1"/>
      <c r="B35" s="1"/>
      <c r="C35" s="1" t="s">
        <v>179</v>
      </c>
      <c r="D35" s="1" t="s">
        <v>189</v>
      </c>
      <c r="E35" s="30"/>
      <c r="F35" s="1"/>
      <c r="G35" s="10"/>
      <c r="H35" s="10">
        <v>210510</v>
      </c>
      <c r="I35" s="9">
        <f t="shared" si="1"/>
        <v>473449.80000000005</v>
      </c>
      <c r="J35" s="1" t="s">
        <v>190</v>
      </c>
      <c r="K35" s="1"/>
    </row>
    <row r="36" spans="1:11">
      <c r="A36" s="1"/>
      <c r="B36" s="1" t="s">
        <v>129</v>
      </c>
      <c r="C36" s="1" t="s">
        <v>113</v>
      </c>
      <c r="D36" s="1" t="s">
        <v>74</v>
      </c>
      <c r="E36" s="30">
        <v>7</v>
      </c>
      <c r="F36" s="1"/>
      <c r="G36" s="10"/>
      <c r="H36" s="10">
        <v>48590</v>
      </c>
      <c r="I36" s="9">
        <f t="shared" si="1"/>
        <v>522039.80000000005</v>
      </c>
      <c r="J36" s="1" t="s">
        <v>135</v>
      </c>
      <c r="K36" s="1"/>
    </row>
    <row r="37" spans="1:11">
      <c r="A37" s="1"/>
      <c r="B37" s="1" t="s">
        <v>120</v>
      </c>
      <c r="C37" s="1" t="s">
        <v>119</v>
      </c>
      <c r="D37" s="1" t="s">
        <v>133</v>
      </c>
      <c r="E37" s="30" t="s">
        <v>205</v>
      </c>
      <c r="F37" s="1"/>
      <c r="G37" s="10"/>
      <c r="H37" s="10">
        <v>194000</v>
      </c>
      <c r="I37" s="9">
        <f t="shared" si="1"/>
        <v>716039.8</v>
      </c>
      <c r="J37" s="1" t="s">
        <v>136</v>
      </c>
      <c r="K37" s="1"/>
    </row>
    <row r="38" spans="1:11">
      <c r="A38" s="1"/>
      <c r="B38" s="1" t="s">
        <v>182</v>
      </c>
      <c r="C38" s="1" t="s">
        <v>181</v>
      </c>
      <c r="D38" s="1" t="s">
        <v>87</v>
      </c>
      <c r="E38" s="30"/>
      <c r="F38" s="1"/>
      <c r="G38" s="10">
        <v>190000</v>
      </c>
      <c r="H38" s="10"/>
      <c r="I38" s="9">
        <f t="shared" si="1"/>
        <v>526039.80000000005</v>
      </c>
      <c r="J38" s="1"/>
      <c r="K38" s="1"/>
    </row>
    <row r="39" spans="1:11">
      <c r="A39" s="1"/>
      <c r="B39" s="1" t="s">
        <v>183</v>
      </c>
      <c r="C39" s="1">
        <v>23.1023</v>
      </c>
      <c r="D39" s="1" t="s">
        <v>87</v>
      </c>
      <c r="E39" s="30"/>
      <c r="F39" s="1"/>
      <c r="G39" s="10">
        <v>130000</v>
      </c>
      <c r="H39" s="10"/>
      <c r="I39" s="9">
        <f t="shared" si="1"/>
        <v>396039.80000000005</v>
      </c>
      <c r="J39" s="1"/>
      <c r="K39" s="1"/>
    </row>
    <row r="40" spans="1:11">
      <c r="A40" s="1"/>
      <c r="B40" s="1" t="s">
        <v>200</v>
      </c>
      <c r="C40" s="1" t="s">
        <v>199</v>
      </c>
      <c r="D40" s="1" t="s">
        <v>104</v>
      </c>
      <c r="E40" s="30">
        <v>11</v>
      </c>
      <c r="F40" s="1"/>
      <c r="G40" s="10"/>
      <c r="H40" s="10">
        <v>104525</v>
      </c>
      <c r="I40" s="9">
        <f t="shared" si="1"/>
        <v>500564.80000000005</v>
      </c>
      <c r="J40" s="1"/>
      <c r="K40" s="1"/>
    </row>
    <row r="41" spans="1:11">
      <c r="A41" s="1"/>
      <c r="B41" s="1" t="s">
        <v>185</v>
      </c>
      <c r="C41" s="1" t="s">
        <v>184</v>
      </c>
      <c r="D41" s="1" t="s">
        <v>87</v>
      </c>
      <c r="E41" s="30"/>
      <c r="F41" s="1"/>
      <c r="G41" s="10">
        <v>50000</v>
      </c>
      <c r="H41" s="10"/>
      <c r="I41" s="9">
        <f t="shared" si="1"/>
        <v>450564.80000000005</v>
      </c>
      <c r="J41" s="1"/>
      <c r="K41" s="1"/>
    </row>
    <row r="42" spans="1:11">
      <c r="A42" s="1"/>
      <c r="B42" s="1" t="s">
        <v>128</v>
      </c>
      <c r="C42" s="1" t="s">
        <v>127</v>
      </c>
      <c r="D42" s="1" t="s">
        <v>133</v>
      </c>
      <c r="E42" s="30" t="s">
        <v>205</v>
      </c>
      <c r="F42" s="1"/>
      <c r="G42" s="10"/>
      <c r="H42" s="10">
        <v>175000</v>
      </c>
      <c r="I42" s="9">
        <f t="shared" si="1"/>
        <v>625564.80000000005</v>
      </c>
      <c r="J42" s="1" t="s">
        <v>134</v>
      </c>
      <c r="K42" s="1"/>
    </row>
    <row r="43" spans="1:11">
      <c r="A43" s="1"/>
      <c r="B43" s="1" t="s">
        <v>187</v>
      </c>
      <c r="C43" s="1" t="s">
        <v>186</v>
      </c>
      <c r="D43" s="1" t="s">
        <v>188</v>
      </c>
      <c r="E43" s="30"/>
      <c r="F43" s="1"/>
      <c r="G43" s="10">
        <v>100000</v>
      </c>
      <c r="H43" s="10"/>
      <c r="I43" s="9">
        <f t="shared" si="1"/>
        <v>525564.80000000005</v>
      </c>
      <c r="J43" s="1"/>
      <c r="K43" s="1"/>
    </row>
    <row r="44" spans="1:11">
      <c r="A44" s="1"/>
      <c r="B44" s="1" t="s">
        <v>207</v>
      </c>
      <c r="C44" s="1" t="s">
        <v>208</v>
      </c>
      <c r="D44" s="1" t="s">
        <v>87</v>
      </c>
      <c r="E44" s="30"/>
      <c r="F44" s="1"/>
      <c r="G44" s="10">
        <v>140000</v>
      </c>
      <c r="H44" s="10"/>
      <c r="I44" s="9">
        <f t="shared" si="1"/>
        <v>385564.80000000005</v>
      </c>
      <c r="J44" s="1"/>
      <c r="K44" s="1"/>
    </row>
    <row r="45" spans="1:11">
      <c r="A45" s="1"/>
      <c r="B45" s="1"/>
      <c r="C45" s="1"/>
      <c r="D45" s="1"/>
      <c r="E45" s="30"/>
      <c r="F45" s="1"/>
      <c r="G45" s="10"/>
      <c r="H45" s="10"/>
      <c r="I45" s="9"/>
      <c r="J45" s="1"/>
      <c r="K45" s="1"/>
    </row>
    <row r="46" spans="1:11">
      <c r="G46" s="12">
        <f>SUM(G20:G45)</f>
        <v>2450000</v>
      </c>
      <c r="H46" s="12">
        <f>SUM(H20:H45)</f>
        <v>8714503.3699999992</v>
      </c>
      <c r="I46" s="6">
        <f>H46-G46</f>
        <v>6264503.3699999992</v>
      </c>
      <c r="J46" s="53">
        <f>H21+H22+H23</f>
        <v>5625238.5700000003</v>
      </c>
    </row>
    <row r="47" spans="1:11">
      <c r="J47" s="53">
        <f>J46-I46</f>
        <v>-639264.79999999888</v>
      </c>
    </row>
  </sheetData>
  <mergeCells count="1">
    <mergeCell ref="A1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3"/>
  <sheetViews>
    <sheetView workbookViewId="0">
      <selection activeCell="C10" sqref="C10"/>
    </sheetView>
  </sheetViews>
  <sheetFormatPr defaultRowHeight="15"/>
  <cols>
    <col min="1" max="1" width="2.85546875" customWidth="1"/>
    <col min="4" max="4" width="43.28515625" bestFit="1" customWidth="1"/>
    <col min="7" max="7" width="11.28515625" bestFit="1" customWidth="1"/>
    <col min="8" max="8" width="10.85546875" bestFit="1" customWidth="1"/>
    <col min="9" max="9" width="10.5703125" bestFit="1" customWidth="1"/>
  </cols>
  <sheetData>
    <row r="1" spans="1:13">
      <c r="A1" s="46" t="s">
        <v>118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5.75" thickBo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3" ht="15.75" thickBot="1">
      <c r="D3" s="23"/>
      <c r="G3" s="6"/>
      <c r="H3" s="6"/>
      <c r="I3" s="6"/>
    </row>
    <row r="4" spans="1:13">
      <c r="A4" s="32" t="s">
        <v>1</v>
      </c>
      <c r="B4" s="33" t="s">
        <v>2</v>
      </c>
      <c r="C4" s="33" t="s">
        <v>3</v>
      </c>
      <c r="D4" s="34" t="s">
        <v>4</v>
      </c>
      <c r="E4" s="33" t="s">
        <v>5</v>
      </c>
      <c r="F4" s="33" t="s">
        <v>13</v>
      </c>
      <c r="G4" s="35" t="s">
        <v>6</v>
      </c>
      <c r="H4" s="35" t="s">
        <v>7</v>
      </c>
      <c r="I4" s="35" t="s">
        <v>8</v>
      </c>
      <c r="J4" s="33" t="s">
        <v>9</v>
      </c>
      <c r="K4" s="36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>
      <c r="A6" s="1"/>
      <c r="B6" s="1" t="s">
        <v>120</v>
      </c>
      <c r="C6" s="1" t="s">
        <v>119</v>
      </c>
      <c r="D6" s="1" t="s">
        <v>121</v>
      </c>
      <c r="E6" s="1"/>
      <c r="F6" s="1">
        <v>1</v>
      </c>
      <c r="G6" s="1">
        <v>194000</v>
      </c>
      <c r="H6" s="1"/>
      <c r="I6" s="1">
        <v>194000</v>
      </c>
      <c r="J6" s="1"/>
      <c r="K6" s="1"/>
    </row>
    <row r="7" spans="1:13">
      <c r="A7" s="1"/>
      <c r="B7" s="1" t="s">
        <v>150</v>
      </c>
      <c r="C7" s="1" t="s">
        <v>117</v>
      </c>
      <c r="D7" s="1" t="s">
        <v>122</v>
      </c>
      <c r="E7" s="1"/>
      <c r="F7" s="1"/>
      <c r="G7" s="1"/>
      <c r="H7" s="1">
        <v>50000</v>
      </c>
      <c r="I7" s="1">
        <f>I6+G7-H7</f>
        <v>144000</v>
      </c>
      <c r="J7" s="1"/>
      <c r="K7" s="1" t="s">
        <v>123</v>
      </c>
    </row>
    <row r="8" spans="1:13">
      <c r="A8" s="1"/>
      <c r="B8" s="1" t="s">
        <v>204</v>
      </c>
      <c r="C8" s="1" t="s">
        <v>203</v>
      </c>
      <c r="D8" s="1" t="s">
        <v>122</v>
      </c>
      <c r="E8" s="1"/>
      <c r="F8" s="1"/>
      <c r="G8" s="1"/>
      <c r="H8" s="1">
        <v>100000</v>
      </c>
      <c r="I8" s="1">
        <f>I7+G8-H8</f>
        <v>44000</v>
      </c>
      <c r="J8" s="1"/>
      <c r="K8" s="1" t="s">
        <v>123</v>
      </c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</sheetData>
  <mergeCells count="1">
    <mergeCell ref="A1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1"/>
  <sheetViews>
    <sheetView tabSelected="1" workbookViewId="0">
      <selection activeCell="K19" sqref="K19"/>
    </sheetView>
  </sheetViews>
  <sheetFormatPr defaultRowHeight="15"/>
  <cols>
    <col min="1" max="1" width="3.7109375" customWidth="1"/>
    <col min="2" max="3" width="8.140625" bestFit="1" customWidth="1"/>
    <col min="4" max="4" width="23.140625" style="23" customWidth="1"/>
    <col min="5" max="5" width="5.85546875" customWidth="1"/>
    <col min="6" max="6" width="4.85546875" customWidth="1"/>
    <col min="7" max="8" width="11.5703125" style="6" bestFit="1" customWidth="1"/>
    <col min="9" max="9" width="14.42578125" style="6" customWidth="1"/>
    <col min="10" max="10" width="14.140625" style="39" customWidth="1"/>
    <col min="11" max="11" width="9.140625" style="38"/>
    <col min="15" max="15" width="18.5703125" bestFit="1" customWidth="1"/>
  </cols>
  <sheetData>
    <row r="1" spans="1:23">
      <c r="A1" s="46" t="s">
        <v>157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23" ht="15.75" thickBo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23" ht="15.75" thickBot="1"/>
    <row r="4" spans="1:23" ht="15.75" thickBot="1">
      <c r="A4" s="5" t="s">
        <v>1</v>
      </c>
      <c r="B4" s="3" t="s">
        <v>2</v>
      </c>
      <c r="C4" s="3" t="s">
        <v>3</v>
      </c>
      <c r="D4" s="24" t="s">
        <v>4</v>
      </c>
      <c r="E4" s="3" t="s">
        <v>5</v>
      </c>
      <c r="F4" s="3" t="s">
        <v>13</v>
      </c>
      <c r="G4" s="7" t="s">
        <v>6</v>
      </c>
      <c r="H4" s="7" t="s">
        <v>7</v>
      </c>
      <c r="I4" s="7" t="s">
        <v>8</v>
      </c>
      <c r="J4" s="3" t="s">
        <v>9</v>
      </c>
      <c r="M4" s="1" t="s">
        <v>161</v>
      </c>
      <c r="N4" s="1" t="s">
        <v>153</v>
      </c>
      <c r="O4" s="1" t="s">
        <v>162</v>
      </c>
      <c r="P4" s="1" t="s">
        <v>163</v>
      </c>
      <c r="Q4" s="1" t="s">
        <v>177</v>
      </c>
      <c r="R4" s="1"/>
      <c r="S4" s="1"/>
      <c r="T4" s="1"/>
      <c r="U4" s="1"/>
      <c r="V4" s="1"/>
      <c r="W4" s="1"/>
    </row>
    <row r="5" spans="1:23">
      <c r="A5" s="2"/>
      <c r="B5" s="2"/>
      <c r="C5" s="2"/>
      <c r="D5" s="25"/>
      <c r="E5" s="2"/>
      <c r="F5" s="2"/>
      <c r="G5" s="8"/>
      <c r="H5" s="8"/>
      <c r="I5" s="8"/>
      <c r="J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 t="s">
        <v>158</v>
      </c>
      <c r="C6" s="1"/>
      <c r="D6" s="22" t="s">
        <v>104</v>
      </c>
      <c r="E6" s="1"/>
      <c r="F6" s="1"/>
      <c r="G6" s="9">
        <v>457650</v>
      </c>
      <c r="H6" s="9"/>
      <c r="I6" s="9">
        <v>457650</v>
      </c>
      <c r="J6" s="45"/>
      <c r="M6" s="1" t="s">
        <v>159</v>
      </c>
      <c r="N6" s="1"/>
      <c r="O6" s="1" t="s">
        <v>166</v>
      </c>
      <c r="P6" s="1">
        <v>208000</v>
      </c>
      <c r="Q6" s="1"/>
      <c r="R6" s="1"/>
      <c r="S6" s="1"/>
      <c r="T6" s="1"/>
      <c r="U6" s="1"/>
      <c r="V6" s="1"/>
      <c r="W6" s="1"/>
    </row>
    <row r="7" spans="1:23">
      <c r="A7" s="1"/>
      <c r="B7" s="1" t="s">
        <v>158</v>
      </c>
      <c r="C7" s="1"/>
      <c r="D7" s="22" t="s">
        <v>104</v>
      </c>
      <c r="E7" s="1"/>
      <c r="F7" s="1"/>
      <c r="G7" s="9">
        <v>423750</v>
      </c>
      <c r="H7" s="10"/>
      <c r="I7" s="9">
        <f>I6+G7-H7</f>
        <v>881400</v>
      </c>
      <c r="J7" s="45"/>
      <c r="M7" s="1" t="s">
        <v>159</v>
      </c>
      <c r="N7" s="1"/>
      <c r="O7" s="1" t="s">
        <v>166</v>
      </c>
      <c r="P7" s="1">
        <v>197000</v>
      </c>
      <c r="Q7" s="1"/>
      <c r="R7" s="1"/>
      <c r="S7" s="1"/>
      <c r="T7" s="1"/>
      <c r="U7" s="1"/>
      <c r="V7" s="1"/>
      <c r="W7" s="1"/>
    </row>
    <row r="8" spans="1:23">
      <c r="A8" s="1"/>
      <c r="B8" s="1" t="s">
        <v>158</v>
      </c>
      <c r="C8" s="1"/>
      <c r="D8" s="22" t="s">
        <v>104</v>
      </c>
      <c r="E8" s="1"/>
      <c r="F8" s="1"/>
      <c r="G8" s="9">
        <v>231650</v>
      </c>
      <c r="H8" s="9"/>
      <c r="I8" s="9">
        <f t="shared" ref="I8:I17" si="0">I7+G8-H8</f>
        <v>1113050</v>
      </c>
      <c r="J8" s="45"/>
      <c r="M8" s="1" t="s">
        <v>167</v>
      </c>
      <c r="N8" s="1"/>
      <c r="O8" s="1" t="s">
        <v>168</v>
      </c>
      <c r="P8" s="1">
        <v>10000</v>
      </c>
      <c r="Q8" s="1"/>
      <c r="R8" s="1"/>
      <c r="S8" s="1"/>
      <c r="T8" s="1"/>
      <c r="U8" s="1"/>
      <c r="V8" s="1"/>
      <c r="W8" s="1"/>
    </row>
    <row r="9" spans="1:23">
      <c r="A9" s="1"/>
      <c r="B9" s="1" t="s">
        <v>158</v>
      </c>
      <c r="C9" s="1"/>
      <c r="D9" s="22" t="s">
        <v>104</v>
      </c>
      <c r="E9" s="1"/>
      <c r="F9" s="1"/>
      <c r="G9" s="9">
        <v>124300</v>
      </c>
      <c r="H9" s="9"/>
      <c r="I9" s="9">
        <f t="shared" si="0"/>
        <v>1237350</v>
      </c>
      <c r="J9" s="45"/>
      <c r="M9" s="1" t="s">
        <v>169</v>
      </c>
      <c r="N9" s="1"/>
      <c r="O9" s="1" t="s">
        <v>170</v>
      </c>
      <c r="P9" s="1">
        <v>56120</v>
      </c>
      <c r="Q9" s="1"/>
      <c r="R9" s="1"/>
      <c r="S9" s="1"/>
      <c r="T9" s="1"/>
      <c r="U9" s="1"/>
      <c r="V9" s="1"/>
      <c r="W9" s="1"/>
    </row>
    <row r="10" spans="1:23">
      <c r="A10" s="1"/>
      <c r="B10" s="1"/>
      <c r="C10" s="1" t="s">
        <v>159</v>
      </c>
      <c r="D10" s="22" t="s">
        <v>125</v>
      </c>
      <c r="E10" s="1"/>
      <c r="F10" s="1"/>
      <c r="G10" s="9"/>
      <c r="H10" s="9">
        <v>197000</v>
      </c>
      <c r="I10" s="9">
        <f t="shared" si="0"/>
        <v>1040350</v>
      </c>
      <c r="J10" s="1"/>
      <c r="M10" s="1" t="s">
        <v>171</v>
      </c>
      <c r="N10" s="1"/>
      <c r="O10" s="1"/>
      <c r="P10" s="1">
        <v>380</v>
      </c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 t="s">
        <v>160</v>
      </c>
      <c r="D11" s="22" t="s">
        <v>125</v>
      </c>
      <c r="E11" s="1"/>
      <c r="F11" s="1"/>
      <c r="G11" s="9"/>
      <c r="H11" s="9">
        <v>295000</v>
      </c>
      <c r="I11" s="9">
        <f t="shared" si="0"/>
        <v>745350</v>
      </c>
      <c r="J11" s="1"/>
      <c r="M11" s="1" t="s">
        <v>172</v>
      </c>
      <c r="N11" s="1"/>
      <c r="O11" s="1"/>
      <c r="P11" s="1">
        <v>73792</v>
      </c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 t="s">
        <v>59</v>
      </c>
      <c r="D12" s="22" t="s">
        <v>125</v>
      </c>
      <c r="E12" s="1"/>
      <c r="F12" s="1"/>
      <c r="G12" s="9"/>
      <c r="H12" s="9">
        <v>295500</v>
      </c>
      <c r="I12" s="9">
        <f t="shared" si="0"/>
        <v>449850</v>
      </c>
      <c r="J12" s="1"/>
      <c r="M12" s="1" t="s">
        <v>173</v>
      </c>
      <c r="N12" s="1"/>
      <c r="O12" s="1"/>
      <c r="P12" s="1">
        <v>7072</v>
      </c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 t="s">
        <v>197</v>
      </c>
      <c r="D13" s="22" t="s">
        <v>125</v>
      </c>
      <c r="E13" s="1"/>
      <c r="F13" s="1"/>
      <c r="G13" s="9"/>
      <c r="H13" s="9">
        <v>432925</v>
      </c>
      <c r="I13" s="9">
        <f t="shared" si="0"/>
        <v>16925</v>
      </c>
      <c r="J13" s="1"/>
      <c r="M13" s="1" t="s">
        <v>174</v>
      </c>
      <c r="N13" s="1"/>
      <c r="O13" s="1"/>
      <c r="P13" s="1">
        <v>47510</v>
      </c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22" t="s">
        <v>193</v>
      </c>
      <c r="E14" s="1"/>
      <c r="F14" s="1"/>
      <c r="G14" s="9"/>
      <c r="H14" s="9">
        <v>16425</v>
      </c>
      <c r="I14" s="9">
        <f t="shared" si="0"/>
        <v>500</v>
      </c>
      <c r="J14" s="1"/>
      <c r="M14" s="1" t="s">
        <v>175</v>
      </c>
      <c r="N14" s="1"/>
      <c r="O14" s="1"/>
      <c r="P14" s="1">
        <v>1200</v>
      </c>
      <c r="Q14" s="1"/>
      <c r="R14" s="1"/>
      <c r="S14" s="1"/>
      <c r="T14" s="1"/>
      <c r="U14" s="1"/>
      <c r="V14" s="1"/>
      <c r="W14" s="1"/>
    </row>
    <row r="15" spans="1:23">
      <c r="A15" s="1"/>
      <c r="B15" s="1" t="s">
        <v>194</v>
      </c>
      <c r="C15" s="1" t="s">
        <v>113</v>
      </c>
      <c r="D15" s="22" t="s">
        <v>104</v>
      </c>
      <c r="E15" s="1">
        <v>9</v>
      </c>
      <c r="F15" s="1"/>
      <c r="G15" s="9">
        <v>48590</v>
      </c>
      <c r="H15" s="9"/>
      <c r="I15" s="9">
        <f t="shared" si="0"/>
        <v>49090</v>
      </c>
      <c r="J15" s="1" t="s">
        <v>196</v>
      </c>
      <c r="M15" s="1" t="s">
        <v>176</v>
      </c>
      <c r="N15" s="1"/>
      <c r="O15" s="1"/>
      <c r="P15" s="1">
        <v>1810</v>
      </c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 t="s">
        <v>195</v>
      </c>
      <c r="D16" s="22" t="s">
        <v>125</v>
      </c>
      <c r="E16" s="1"/>
      <c r="F16" s="1"/>
      <c r="G16" s="9"/>
      <c r="H16" s="9">
        <v>47945</v>
      </c>
      <c r="I16" s="9">
        <f t="shared" si="0"/>
        <v>1145</v>
      </c>
      <c r="J16" s="1"/>
      <c r="M16" s="1" t="s">
        <v>165</v>
      </c>
      <c r="N16" s="1"/>
      <c r="O16" s="1" t="s">
        <v>164</v>
      </c>
      <c r="P16" s="1">
        <v>30000</v>
      </c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22" t="s">
        <v>193</v>
      </c>
      <c r="E17" s="1"/>
      <c r="F17" s="1"/>
      <c r="G17" s="9"/>
      <c r="H17" s="9">
        <v>645</v>
      </c>
      <c r="I17" s="9">
        <f t="shared" si="0"/>
        <v>500</v>
      </c>
      <c r="J17" s="1"/>
      <c r="M17" s="1"/>
      <c r="N17" s="1"/>
      <c r="O17" s="1"/>
      <c r="P17" s="1">
        <v>5000</v>
      </c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22"/>
      <c r="E18" s="1"/>
      <c r="F18" s="1"/>
      <c r="G18" s="9"/>
      <c r="H18" s="9"/>
      <c r="I18" s="9"/>
      <c r="J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22"/>
      <c r="E19" s="1"/>
      <c r="F19" s="1"/>
      <c r="G19" s="9"/>
      <c r="H19" s="9"/>
      <c r="I19" s="9"/>
      <c r="J19" s="1"/>
      <c r="M19" s="1"/>
      <c r="N19" s="1"/>
      <c r="O19" s="1"/>
      <c r="P19" s="1">
        <f>SUM(P6:P18)</f>
        <v>637884</v>
      </c>
      <c r="Q19" s="1">
        <v>1220425</v>
      </c>
      <c r="R19" s="1">
        <f>Q19-P19</f>
        <v>582541</v>
      </c>
      <c r="S19" s="1"/>
      <c r="T19" s="1"/>
      <c r="U19" s="1"/>
      <c r="V19" s="1"/>
      <c r="W19" s="1"/>
    </row>
    <row r="20" spans="1:23">
      <c r="A20" s="1"/>
      <c r="B20" s="1"/>
      <c r="C20" s="1"/>
      <c r="D20" s="22"/>
      <c r="E20" s="1"/>
      <c r="F20" s="1"/>
      <c r="G20" s="9"/>
      <c r="H20" s="9"/>
      <c r="I20" s="9"/>
      <c r="J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22"/>
      <c r="E21" s="1"/>
      <c r="F21" s="1"/>
      <c r="G21" s="9"/>
      <c r="H21" s="9"/>
      <c r="I21" s="9"/>
      <c r="J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22"/>
      <c r="E22" s="1"/>
      <c r="F22" s="1"/>
      <c r="G22" s="9"/>
      <c r="H22" s="9"/>
      <c r="I22" s="9"/>
      <c r="J22" s="1"/>
    </row>
    <row r="23" spans="1:23">
      <c r="A23" s="1"/>
      <c r="B23" s="1"/>
      <c r="C23" s="1"/>
      <c r="D23" s="22"/>
      <c r="E23" s="1"/>
      <c r="F23" s="1"/>
      <c r="G23" s="9"/>
      <c r="H23" s="9"/>
      <c r="I23" s="9"/>
      <c r="J23" s="1"/>
    </row>
    <row r="24" spans="1:23">
      <c r="A24" s="1"/>
      <c r="B24" s="1"/>
      <c r="C24" s="1"/>
      <c r="D24" s="22"/>
      <c r="E24" s="1"/>
      <c r="F24" s="1"/>
      <c r="G24" s="9"/>
      <c r="H24" s="9"/>
      <c r="I24" s="9"/>
      <c r="J24" s="1"/>
    </row>
    <row r="25" spans="1:23">
      <c r="A25" s="1"/>
      <c r="B25" s="1"/>
      <c r="C25" s="1"/>
      <c r="D25" s="22"/>
      <c r="E25" s="1"/>
      <c r="F25" s="1"/>
      <c r="G25" s="9"/>
      <c r="H25" s="9"/>
      <c r="I25" s="9"/>
      <c r="J25" s="1"/>
    </row>
    <row r="26" spans="1:23">
      <c r="A26" s="1"/>
      <c r="B26" s="1"/>
      <c r="C26" s="1"/>
      <c r="D26" s="22"/>
      <c r="E26" s="1"/>
      <c r="F26" s="1"/>
      <c r="G26" s="9"/>
      <c r="H26" s="9"/>
      <c r="I26" s="9"/>
      <c r="J26" s="1"/>
    </row>
    <row r="27" spans="1:23">
      <c r="A27" s="1"/>
      <c r="B27" s="1"/>
      <c r="C27" s="1"/>
      <c r="D27" s="22"/>
      <c r="E27" s="1"/>
      <c r="F27" s="1"/>
      <c r="G27" s="9"/>
      <c r="H27" s="9"/>
      <c r="I27" s="9"/>
      <c r="J27" s="1"/>
    </row>
    <row r="28" spans="1:23">
      <c r="A28" s="1"/>
      <c r="B28" s="1"/>
      <c r="C28" s="1"/>
      <c r="D28" s="22"/>
      <c r="E28" s="1"/>
      <c r="F28" s="1"/>
      <c r="G28" s="9"/>
      <c r="H28" s="9"/>
      <c r="I28" s="9"/>
      <c r="J28" s="1"/>
    </row>
    <row r="29" spans="1:23">
      <c r="A29" s="1"/>
      <c r="B29" s="1"/>
      <c r="C29" s="1"/>
      <c r="D29" s="22"/>
      <c r="E29" s="1"/>
      <c r="F29" s="1"/>
      <c r="G29" s="9"/>
      <c r="H29" s="9"/>
      <c r="I29" s="9"/>
      <c r="J29" s="1"/>
    </row>
    <row r="30" spans="1:23">
      <c r="A30" s="1"/>
      <c r="B30" s="1"/>
      <c r="C30" s="1"/>
      <c r="D30" s="22"/>
      <c r="E30" s="1"/>
      <c r="F30" s="1"/>
      <c r="G30" s="9"/>
      <c r="H30" s="9"/>
      <c r="I30" s="9"/>
      <c r="J30" s="1"/>
    </row>
    <row r="31" spans="1:23">
      <c r="A31" s="1"/>
      <c r="B31" s="1"/>
      <c r="C31" s="1"/>
      <c r="D31" s="22"/>
      <c r="E31" s="1"/>
      <c r="F31" s="1"/>
      <c r="G31" s="9"/>
      <c r="H31" s="9"/>
      <c r="I31" s="9"/>
      <c r="J31" s="1"/>
    </row>
  </sheetData>
  <mergeCells count="1">
    <mergeCell ref="A1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G2"/>
  <sheetViews>
    <sheetView workbookViewId="0">
      <selection activeCell="I14" sqref="I14"/>
    </sheetView>
  </sheetViews>
  <sheetFormatPr defaultRowHeight="15"/>
  <sheetData>
    <row r="2" spans="2:7">
      <c r="B2" s="52" t="s">
        <v>209</v>
      </c>
      <c r="C2" s="52"/>
      <c r="D2" s="52"/>
      <c r="E2" s="52"/>
      <c r="F2" s="52"/>
      <c r="G2" s="52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TV TODAY </vt:lpstr>
      <vt:lpstr>7 STAR TV</vt:lpstr>
      <vt:lpstr>BAGMATI </vt:lpstr>
      <vt:lpstr>SUJAY</vt:lpstr>
      <vt:lpstr>KU</vt:lpstr>
      <vt:lpstr>NEPAL NEWS</vt:lpstr>
      <vt:lpstr>simul</vt:lpstr>
      <vt:lpstr>black swan</vt:lpstr>
      <vt:lpstr>Dhulikhel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2024-01-12T09:40:25Z</dcterms:modified>
</cp:coreProperties>
</file>