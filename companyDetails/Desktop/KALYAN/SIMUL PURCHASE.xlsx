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79-80" sheetId="2" r:id="rId1"/>
    <sheet name="Sheet3" sheetId="3" r:id="rId2"/>
    <sheet name="80-81" sheetId="4" r:id="rId3"/>
  </sheets>
  <calcPr calcId="124519"/>
</workbook>
</file>

<file path=xl/calcChain.xml><?xml version="1.0" encoding="utf-8"?>
<calcChain xmlns="http://schemas.openxmlformats.org/spreadsheetml/2006/main">
  <c r="L31" i="4"/>
  <c r="L51" i="2"/>
  <c r="L12" l="1"/>
  <c r="L14"/>
  <c r="L16"/>
  <c r="L18"/>
  <c r="I44"/>
  <c r="J44" s="1"/>
  <c r="K44" s="1"/>
  <c r="I45"/>
  <c r="J45" s="1"/>
  <c r="K45" s="1"/>
  <c r="I46"/>
  <c r="J46" s="1"/>
  <c r="K46" s="1"/>
  <c r="L45" l="1"/>
  <c r="I29" l="1"/>
  <c r="J29" s="1"/>
  <c r="K29" s="1"/>
  <c r="I30"/>
  <c r="J30" s="1"/>
  <c r="K30" s="1"/>
  <c r="L30" s="1"/>
  <c r="I19" l="1"/>
  <c r="J19" s="1"/>
  <c r="K19" s="1"/>
  <c r="I20"/>
  <c r="J20" s="1"/>
  <c r="K20" s="1"/>
  <c r="I21"/>
  <c r="J21" s="1"/>
  <c r="K21" s="1"/>
  <c r="I22"/>
  <c r="J22" s="1"/>
  <c r="K22" s="1"/>
  <c r="I23"/>
  <c r="J23" s="1"/>
  <c r="K23" s="1"/>
  <c r="I24"/>
  <c r="J24" s="1"/>
  <c r="K24" s="1"/>
  <c r="I13"/>
  <c r="J13" s="1"/>
  <c r="K13" s="1"/>
  <c r="I14"/>
  <c r="J14" s="1"/>
  <c r="K14" s="1"/>
  <c r="J11"/>
  <c r="K11" s="1"/>
  <c r="I11"/>
  <c r="I12"/>
  <c r="J12" s="1"/>
  <c r="K12" s="1"/>
  <c r="I15"/>
  <c r="J15" s="1"/>
  <c r="K15" s="1"/>
  <c r="I16"/>
  <c r="J16" s="1"/>
  <c r="K16" s="1"/>
  <c r="L20" l="1"/>
  <c r="I18" l="1"/>
  <c r="J18" s="1"/>
  <c r="K18" s="1"/>
  <c r="I26"/>
  <c r="J26" s="1"/>
  <c r="K26" s="1"/>
  <c r="L26" s="1"/>
  <c r="I27"/>
  <c r="J27" s="1"/>
  <c r="K27" s="1"/>
  <c r="I9"/>
  <c r="J9" s="1"/>
  <c r="K9" s="1"/>
  <c r="I10"/>
  <c r="J10" s="1"/>
  <c r="K10" s="1"/>
  <c r="L9" s="1"/>
  <c r="I28"/>
  <c r="J28" s="1"/>
  <c r="K28" s="1"/>
  <c r="L28" s="1"/>
  <c r="K25" i="4"/>
  <c r="K26"/>
  <c r="K27"/>
  <c r="K28"/>
  <c r="K29"/>
  <c r="K30"/>
  <c r="I11"/>
  <c r="J11" s="1"/>
  <c r="I12"/>
  <c r="J12" s="1"/>
  <c r="I13"/>
  <c r="J13" s="1"/>
  <c r="K13" s="1"/>
  <c r="I14"/>
  <c r="J14" s="1"/>
  <c r="K14" s="1"/>
  <c r="I15"/>
  <c r="J15" s="1"/>
  <c r="K15" s="1"/>
  <c r="L15" s="1"/>
  <c r="I16"/>
  <c r="J16" s="1"/>
  <c r="K16" s="1"/>
  <c r="I17"/>
  <c r="J17" s="1"/>
  <c r="K17" s="1"/>
  <c r="I18"/>
  <c r="J18" s="1"/>
  <c r="K18" s="1"/>
  <c r="L18" s="1"/>
  <c r="I19"/>
  <c r="J19" s="1"/>
  <c r="K19" s="1"/>
  <c r="I20"/>
  <c r="J20" s="1"/>
  <c r="K20" s="1"/>
  <c r="I21"/>
  <c r="J21" s="1"/>
  <c r="K21" s="1"/>
  <c r="I22"/>
  <c r="J22" s="1"/>
  <c r="K22" s="1"/>
  <c r="I23"/>
  <c r="J23" s="1"/>
  <c r="K23" s="1"/>
  <c r="I24"/>
  <c r="K24" s="1"/>
  <c r="I10"/>
  <c r="J10" s="1"/>
  <c r="K10" s="1"/>
  <c r="L10" s="1"/>
  <c r="I57" i="2"/>
  <c r="K57" s="1"/>
  <c r="I56"/>
  <c r="J56" s="1"/>
  <c r="K56" s="1"/>
  <c r="I55"/>
  <c r="J55" s="1"/>
  <c r="K55" s="1"/>
  <c r="I54"/>
  <c r="J54" s="1"/>
  <c r="K54" s="1"/>
  <c r="I53"/>
  <c r="J53" s="1"/>
  <c r="K53" s="1"/>
  <c r="I52"/>
  <c r="J52" s="1"/>
  <c r="K52" s="1"/>
  <c r="I51"/>
  <c r="J51" s="1"/>
  <c r="K51" s="1"/>
  <c r="I50"/>
  <c r="J50" s="1"/>
  <c r="K50" s="1"/>
  <c r="I49"/>
  <c r="J49" s="1"/>
  <c r="K49" s="1"/>
  <c r="I48"/>
  <c r="J48" s="1"/>
  <c r="K48" s="1"/>
  <c r="I43"/>
  <c r="J43" s="1"/>
  <c r="K43" s="1"/>
  <c r="I42"/>
  <c r="J42" s="1"/>
  <c r="K42" s="1"/>
  <c r="L42" s="1"/>
  <c r="I41"/>
  <c r="J41" s="1"/>
  <c r="K41" s="1"/>
  <c r="I40"/>
  <c r="J40" s="1"/>
  <c r="K40" s="1"/>
  <c r="I39"/>
  <c r="J39" s="1"/>
  <c r="K39" s="1"/>
  <c r="I38"/>
  <c r="J38" s="1"/>
  <c r="K38" s="1"/>
  <c r="I37"/>
  <c r="J37" s="1"/>
  <c r="K37" s="1"/>
  <c r="I36"/>
  <c r="J36" s="1"/>
  <c r="K36" s="1"/>
  <c r="I35"/>
  <c r="J35" s="1"/>
  <c r="K35" s="1"/>
  <c r="I34"/>
  <c r="J34" s="1"/>
  <c r="K34" s="1"/>
  <c r="I33"/>
  <c r="J33" s="1"/>
  <c r="K33" s="1"/>
  <c r="I32"/>
  <c r="J32" s="1"/>
  <c r="K32" s="1"/>
  <c r="L48" l="1"/>
  <c r="L35"/>
  <c r="L32"/>
</calcChain>
</file>

<file path=xl/sharedStrings.xml><?xml version="1.0" encoding="utf-8"?>
<sst xmlns="http://schemas.openxmlformats.org/spreadsheetml/2006/main" count="141" uniqueCount="111">
  <si>
    <t>LOCAL PURCHASE 79-80</t>
  </si>
  <si>
    <t xml:space="preserve">S no </t>
  </si>
  <si>
    <t xml:space="preserve">Nep date </t>
  </si>
  <si>
    <t xml:space="preserve">Eng date </t>
  </si>
  <si>
    <t xml:space="preserve">VENDOR NAME </t>
  </si>
  <si>
    <t xml:space="preserve">INVOICE </t>
  </si>
  <si>
    <t xml:space="preserve">PRODUCT  NAME </t>
  </si>
  <si>
    <t>QTY</t>
  </si>
  <si>
    <t>RATE</t>
  </si>
  <si>
    <t>TOTAL</t>
  </si>
  <si>
    <t xml:space="preserve">VAT 13% </t>
  </si>
  <si>
    <t>COST</t>
  </si>
  <si>
    <t xml:space="preserve">AMOUNT </t>
  </si>
  <si>
    <t>SSD 128</t>
  </si>
  <si>
    <t>28.02.80</t>
  </si>
  <si>
    <t>AV BIONICS</t>
  </si>
  <si>
    <t>CONTROLLER KT-KD50X</t>
  </si>
  <si>
    <t>HDMI BONDING VIDEO CONVERTER</t>
  </si>
  <si>
    <t>05.03.80</t>
  </si>
  <si>
    <t>Dell 35 11 13 4/1tb</t>
  </si>
  <si>
    <t>Monitor 18.5"</t>
  </si>
  <si>
    <t>Monitor19"</t>
  </si>
  <si>
    <t>router BL Wush LB-link</t>
  </si>
  <si>
    <t>SSD256</t>
  </si>
  <si>
    <t>10.03.80</t>
  </si>
  <si>
    <t>AV</t>
  </si>
  <si>
    <t>3 HP victus 16i5/8/512/1650</t>
  </si>
  <si>
    <t>Prizma induction desktop</t>
  </si>
  <si>
    <t>22.03.80</t>
  </si>
  <si>
    <t>4 Nitro 5 i5/16/512/3060</t>
  </si>
  <si>
    <t>HP victus 16 i7/16/512/3060</t>
  </si>
  <si>
    <t>cost</t>
  </si>
  <si>
    <t>SHASA ENTERPRISES ( PAID FOR TT AMOUNT OF FCTELE )</t>
  </si>
  <si>
    <t>SHASA ENTERPRISES ( PAID FOR TT AMOUNT OF FEELWORLD ) LAXMI BANK</t>
  </si>
  <si>
    <t>LOKESH AGRAWAL ( CEILING LIGHT HINGE PAYMENT )</t>
  </si>
  <si>
    <t>DURACELL BATTERY FOR DHULIKHEL HOSPITAL ( BIG MART ) BOYA-WM6</t>
  </si>
  <si>
    <t>SMART ENTERPRISES PVT LTD ( SOHETO ) SDI TO HDMI &amp; HDMI TO SDI BILL NO. : 211</t>
  </si>
  <si>
    <t>NEPAL MAX TECHNOLOGIES PVT LTD XVIVE U4  BILL NO. : 185</t>
  </si>
  <si>
    <t>NEOTRIC ELECTRONICS HDMI CONNECTOR</t>
  </si>
  <si>
    <t>LOCAL PURCHASE CHARGER AND DATA CABLE TYPE -C FOR DHULIKHEL HOSPITAL</t>
  </si>
  <si>
    <t>SYAKAR COMPANY PVT LTD ( EARPHONE PHILIPS )</t>
  </si>
  <si>
    <t>CABLE CONNECTORS - DHULIKHEL HOSPITAL</t>
  </si>
  <si>
    <t>LOCAL PURCHASE 80-81</t>
  </si>
  <si>
    <t xml:space="preserve">LED 60 LIGHT </t>
  </si>
  <si>
    <t>NO BILL</t>
  </si>
  <si>
    <t xml:space="preserve">DIGITAL CAMERA </t>
  </si>
  <si>
    <t>05.05.80</t>
  </si>
  <si>
    <t>SDI TO HDMI CONVERTER</t>
  </si>
  <si>
    <t>4K*2K HDMI SPLITTER</t>
  </si>
  <si>
    <t>15.05.80</t>
  </si>
  <si>
    <t>YPLO LIV BOX PRO EM</t>
  </si>
  <si>
    <t>BALKUMARI ELECTRONICS</t>
  </si>
  <si>
    <t>WALL MOUNT</t>
  </si>
  <si>
    <t>22.08.23</t>
  </si>
  <si>
    <t>01.09.23</t>
  </si>
  <si>
    <t>16.10.23</t>
  </si>
  <si>
    <t>29.06.23</t>
  </si>
  <si>
    <t xml:space="preserve">HDMI 4K 50M </t>
  </si>
  <si>
    <t>HDMI 4K 30M</t>
  </si>
  <si>
    <t>server Dell T40</t>
  </si>
  <si>
    <t>09.08.2080</t>
  </si>
  <si>
    <t>25.11.23</t>
  </si>
  <si>
    <t>balkumari electronics</t>
  </si>
  <si>
    <t>17.12.2079</t>
  </si>
  <si>
    <t>nav solutions pvt ltd</t>
  </si>
  <si>
    <t>Boya-WMC</t>
  </si>
  <si>
    <t>28.12.79</t>
  </si>
  <si>
    <t>nav solutions</t>
  </si>
  <si>
    <t>BY-M8C</t>
  </si>
  <si>
    <t>15.01.80</t>
  </si>
  <si>
    <t>SC-542N4 HDMI input card</t>
  </si>
  <si>
    <t>19.03.23</t>
  </si>
  <si>
    <t>smart enterprisespvt ltd</t>
  </si>
  <si>
    <t>BMD Micro SDI to HDMI converter</t>
  </si>
  <si>
    <t>BMD HDMI TO SDI MICRO CONVERTER</t>
  </si>
  <si>
    <t>05.12.79</t>
  </si>
  <si>
    <t>07.12.79</t>
  </si>
  <si>
    <t>21.03.23</t>
  </si>
  <si>
    <t xml:space="preserve">SPYKAR COMPANY PVT LTD </t>
  </si>
  <si>
    <t>SB-7102/80/0569</t>
  </si>
  <si>
    <t>SHE 7000/98 (IN-EAR HEADPHONE)</t>
  </si>
  <si>
    <t>NEOTERIC NEPAL P. LTD</t>
  </si>
  <si>
    <t>UGREEN HDMI FEMALE TO FEMALE</t>
  </si>
  <si>
    <t xml:space="preserve">NEPAL MAX TECH. PVT LTD </t>
  </si>
  <si>
    <t xml:space="preserve">XVIVE U4 IN EAR MONITER WIRELESS SYSTEM </t>
  </si>
  <si>
    <t>17.12.79</t>
  </si>
  <si>
    <t>SHASA ENTERPRISES</t>
  </si>
  <si>
    <t>PTZ Camera (POE20X)</t>
  </si>
  <si>
    <t>PTZ Controller(KBC10)</t>
  </si>
  <si>
    <t>VIDEO Switcher(L2Plus)</t>
  </si>
  <si>
    <t>video fiber converter(8channel)</t>
  </si>
  <si>
    <t>audio fiber converter(XLR 4 Channel 2in 2 out)</t>
  </si>
  <si>
    <t>31.03.23</t>
  </si>
  <si>
    <t>11.04.23</t>
  </si>
  <si>
    <t>28.04.23</t>
  </si>
  <si>
    <t>11.06.23</t>
  </si>
  <si>
    <t>18.06.23</t>
  </si>
  <si>
    <t>25.06.23</t>
  </si>
  <si>
    <t>07.07.23</t>
  </si>
  <si>
    <t>04.02.80</t>
  </si>
  <si>
    <t>18.05.23</t>
  </si>
  <si>
    <t>cloud tech</t>
  </si>
  <si>
    <t>ATCOM A20W IP PHONE</t>
  </si>
  <si>
    <t>17.03.80</t>
  </si>
  <si>
    <t>02.07.23</t>
  </si>
  <si>
    <t>43" LED TV</t>
  </si>
  <si>
    <t>SI-JWK/02308</t>
  </si>
  <si>
    <t>10.03.23</t>
  </si>
  <si>
    <t>LOKESH AGARWAL</t>
  </si>
  <si>
    <t>CEILING LIGHT</t>
  </si>
  <si>
    <t>NO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</si>
</sst>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.0_);_(* \(#,##0.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/>
    <xf numFmtId="0" fontId="2" fillId="0" borderId="7" xfId="0" applyFont="1" applyBorder="1"/>
    <xf numFmtId="0" fontId="2" fillId="0" borderId="7" xfId="0" applyFont="1" applyBorder="1" applyAlignment="1">
      <alignment horizontal="center" vertical="center"/>
    </xf>
    <xf numFmtId="43" fontId="2" fillId="0" borderId="7" xfId="1" applyFont="1" applyBorder="1"/>
    <xf numFmtId="43" fontId="2" fillId="0" borderId="8" xfId="1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0" xfId="0" applyFont="1" applyBorder="1"/>
    <xf numFmtId="0" fontId="0" fillId="0" borderId="13" xfId="0" applyBorder="1"/>
    <xf numFmtId="0" fontId="2" fillId="0" borderId="18" xfId="0" applyFont="1" applyBorder="1"/>
    <xf numFmtId="0" fontId="2" fillId="0" borderId="19" xfId="0" applyFont="1" applyBorder="1"/>
    <xf numFmtId="0" fontId="4" fillId="0" borderId="19" xfId="0" applyFont="1" applyBorder="1" applyAlignment="1">
      <alignment horizontal="center" vertical="center"/>
    </xf>
    <xf numFmtId="0" fontId="2" fillId="3" borderId="13" xfId="0" applyFont="1" applyFill="1" applyBorder="1"/>
    <xf numFmtId="0" fontId="2" fillId="3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top"/>
    </xf>
    <xf numFmtId="0" fontId="0" fillId="0" borderId="13" xfId="0" applyBorder="1" applyAlignment="1">
      <alignment vertical="center"/>
    </xf>
    <xf numFmtId="0" fontId="0" fillId="3" borderId="13" xfId="0" applyFill="1" applyBorder="1"/>
    <xf numFmtId="0" fontId="0" fillId="3" borderId="13" xfId="0" applyFont="1" applyFill="1" applyBorder="1" applyAlignment="1">
      <alignment horizontal="center" vertical="center"/>
    </xf>
    <xf numFmtId="43" fontId="0" fillId="0" borderId="13" xfId="1" applyFont="1" applyBorder="1" applyAlignment="1">
      <alignment vertical="center"/>
    </xf>
    <xf numFmtId="43" fontId="1" fillId="3" borderId="13" xfId="1" applyFont="1" applyFill="1" applyBorder="1"/>
    <xf numFmtId="0" fontId="0" fillId="3" borderId="13" xfId="0" applyFill="1" applyBorder="1" applyAlignment="1">
      <alignment horizontal="center" vertical="center"/>
    </xf>
    <xf numFmtId="0" fontId="2" fillId="3" borderId="13" xfId="0" applyFont="1" applyFill="1" applyBorder="1" applyAlignment="1">
      <alignment vertical="top"/>
    </xf>
    <xf numFmtId="0" fontId="0" fillId="3" borderId="13" xfId="0" applyFill="1" applyBorder="1" applyAlignment="1">
      <alignment vertical="top"/>
    </xf>
    <xf numFmtId="43" fontId="0" fillId="3" borderId="13" xfId="1" applyFont="1" applyFill="1" applyBorder="1"/>
    <xf numFmtId="43" fontId="0" fillId="3" borderId="16" xfId="1" applyFont="1" applyFill="1" applyBorder="1"/>
    <xf numFmtId="43" fontId="0" fillId="3" borderId="17" xfId="1" applyFont="1" applyFill="1" applyBorder="1"/>
    <xf numFmtId="43" fontId="2" fillId="3" borderId="9" xfId="1" applyFont="1" applyFill="1" applyBorder="1"/>
    <xf numFmtId="43" fontId="0" fillId="3" borderId="14" xfId="1" applyFont="1" applyFill="1" applyBorder="1"/>
    <xf numFmtId="43" fontId="0" fillId="3" borderId="15" xfId="1" applyFont="1" applyFill="1" applyBorder="1"/>
    <xf numFmtId="0" fontId="2" fillId="0" borderId="13" xfId="0" applyFont="1" applyFill="1" applyBorder="1"/>
    <xf numFmtId="15" fontId="0" fillId="0" borderId="13" xfId="0" applyNumberFormat="1" applyBorder="1" applyAlignment="1">
      <alignment vertical="center"/>
    </xf>
    <xf numFmtId="0" fontId="0" fillId="0" borderId="13" xfId="0" applyBorder="1" applyAlignment="1">
      <alignment vertical="center" wrapText="1"/>
    </xf>
    <xf numFmtId="15" fontId="0" fillId="0" borderId="13" xfId="0" applyNumberFormat="1" applyFill="1" applyBorder="1" applyAlignment="1">
      <alignment vertical="center"/>
    </xf>
    <xf numFmtId="0" fontId="0" fillId="0" borderId="13" xfId="0" applyFill="1" applyBorder="1" applyAlignment="1">
      <alignment vertical="center" wrapText="1"/>
    </xf>
    <xf numFmtId="43" fontId="0" fillId="0" borderId="13" xfId="1" applyFont="1" applyFill="1" applyBorder="1" applyAlignment="1">
      <alignment vertical="center"/>
    </xf>
    <xf numFmtId="15" fontId="0" fillId="4" borderId="13" xfId="0" applyNumberFormat="1" applyFill="1" applyBorder="1" applyAlignment="1">
      <alignment vertical="center"/>
    </xf>
    <xf numFmtId="43" fontId="2" fillId="3" borderId="13" xfId="1" applyFont="1" applyFill="1" applyBorder="1"/>
    <xf numFmtId="43" fontId="5" fillId="3" borderId="13" xfId="1" applyFont="1" applyFill="1" applyBorder="1" applyAlignment="1"/>
    <xf numFmtId="43" fontId="1" fillId="3" borderId="13" xfId="1" applyFont="1" applyFill="1" applyBorder="1" applyAlignment="1"/>
    <xf numFmtId="164" fontId="0" fillId="3" borderId="13" xfId="1" applyNumberFormat="1" applyFont="1" applyFill="1" applyBorder="1"/>
    <xf numFmtId="164" fontId="1" fillId="3" borderId="13" xfId="1" applyNumberFormat="1" applyFont="1" applyFill="1" applyBorder="1"/>
    <xf numFmtId="0" fontId="2" fillId="0" borderId="19" xfId="0" applyFont="1" applyBorder="1" applyAlignment="1">
      <alignment horizontal="center" vertical="center"/>
    </xf>
    <xf numFmtId="43" fontId="2" fillId="0" borderId="19" xfId="1" applyFont="1" applyBorder="1"/>
    <xf numFmtId="43" fontId="2" fillId="0" borderId="20" xfId="1" applyFont="1" applyBorder="1"/>
    <xf numFmtId="43" fontId="2" fillId="0" borderId="21" xfId="1" applyFont="1" applyBorder="1"/>
    <xf numFmtId="0" fontId="6" fillId="0" borderId="19" xfId="0" applyFont="1" applyBorder="1"/>
    <xf numFmtId="0" fontId="0" fillId="0" borderId="13" xfId="0" applyBorder="1" applyAlignment="1">
      <alignment horizontal="center" vertical="center"/>
    </xf>
    <xf numFmtId="43" fontId="1" fillId="3" borderId="17" xfId="1" applyFont="1" applyFill="1" applyBorder="1"/>
    <xf numFmtId="43" fontId="0" fillId="3" borderId="22" xfId="1" applyFont="1" applyFill="1" applyBorder="1"/>
    <xf numFmtId="43" fontId="2" fillId="0" borderId="13" xfId="1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3" fontId="2" fillId="3" borderId="13" xfId="1" applyFont="1" applyFill="1" applyBorder="1" applyAlignment="1">
      <alignment horizontal="center"/>
    </xf>
    <xf numFmtId="43" fontId="0" fillId="3" borderId="16" xfId="1" applyFont="1" applyFill="1" applyBorder="1" applyAlignment="1">
      <alignment horizontal="center"/>
    </xf>
    <xf numFmtId="43" fontId="0" fillId="3" borderId="15" xfId="1" applyFont="1" applyFill="1" applyBorder="1" applyAlignment="1">
      <alignment horizontal="center"/>
    </xf>
    <xf numFmtId="43" fontId="2" fillId="3" borderId="16" xfId="1" applyFont="1" applyFill="1" applyBorder="1" applyAlignment="1">
      <alignment horizontal="center"/>
    </xf>
    <xf numFmtId="43" fontId="2" fillId="3" borderId="15" xfId="1" applyFont="1" applyFill="1" applyBorder="1" applyAlignment="1">
      <alignment horizontal="center"/>
    </xf>
    <xf numFmtId="0" fontId="2" fillId="3" borderId="23" xfId="0" applyFont="1" applyFill="1" applyBorder="1" applyAlignment="1">
      <alignment vertical="center"/>
    </xf>
    <xf numFmtId="0" fontId="2" fillId="0" borderId="0" xfId="0" applyFont="1"/>
    <xf numFmtId="0" fontId="0" fillId="0" borderId="0" xfId="0" applyFont="1"/>
    <xf numFmtId="0" fontId="0" fillId="3" borderId="13" xfId="0" applyFont="1" applyFill="1" applyBorder="1"/>
    <xf numFmtId="0" fontId="0" fillId="0" borderId="13" xfId="0" applyFont="1" applyBorder="1" applyAlignment="1">
      <alignment vertical="center"/>
    </xf>
    <xf numFmtId="0" fontId="0" fillId="3" borderId="13" xfId="0" applyFont="1" applyFill="1" applyBorder="1" applyAlignment="1">
      <alignment vertical="top"/>
    </xf>
    <xf numFmtId="0" fontId="0" fillId="0" borderId="13" xfId="0" applyFont="1" applyBorder="1"/>
    <xf numFmtId="0" fontId="7" fillId="0" borderId="0" xfId="0" applyFont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43" fontId="2" fillId="3" borderId="12" xfId="1" applyFont="1" applyFill="1" applyBorder="1" applyAlignment="1">
      <alignment horizontal="center"/>
    </xf>
    <xf numFmtId="43" fontId="2" fillId="3" borderId="13" xfId="1" applyFont="1" applyFill="1" applyBorder="1" applyAlignment="1"/>
    <xf numFmtId="43" fontId="2" fillId="3" borderId="16" xfId="1" applyFont="1" applyFill="1" applyBorder="1" applyAlignment="1"/>
    <xf numFmtId="0" fontId="0" fillId="3" borderId="13" xfId="0" applyFont="1" applyFill="1" applyBorder="1" applyAlignment="1"/>
    <xf numFmtId="0" fontId="0" fillId="0" borderId="0" xfId="0" applyFont="1" applyAlignment="1">
      <alignment horizontal="center" vertical="center"/>
    </xf>
    <xf numFmtId="43" fontId="1" fillId="0" borderId="0" xfId="1" applyFont="1"/>
    <xf numFmtId="0" fontId="0" fillId="3" borderId="13" xfId="0" applyFont="1" applyFill="1" applyBorder="1" applyAlignment="1">
      <alignment vertical="center"/>
    </xf>
    <xf numFmtId="43" fontId="1" fillId="0" borderId="13" xfId="1" applyFont="1" applyBorder="1" applyAlignment="1">
      <alignment vertical="center"/>
    </xf>
    <xf numFmtId="43" fontId="2" fillId="0" borderId="16" xfId="1" applyFont="1" applyBorder="1"/>
    <xf numFmtId="43" fontId="2" fillId="3" borderId="15" xfId="1" applyFont="1" applyFill="1" applyBorder="1"/>
    <xf numFmtId="43" fontId="2" fillId="0" borderId="9" xfId="1" applyFont="1" applyBorder="1"/>
    <xf numFmtId="0" fontId="2" fillId="0" borderId="1" xfId="0" applyFont="1" applyBorder="1"/>
    <xf numFmtId="0" fontId="0" fillId="3" borderId="15" xfId="0" applyFont="1" applyFill="1" applyBorder="1"/>
    <xf numFmtId="0" fontId="7" fillId="3" borderId="15" xfId="0" applyFont="1" applyFill="1" applyBorder="1" applyAlignment="1">
      <alignment horizontal="center" vertical="center"/>
    </xf>
    <xf numFmtId="0" fontId="0" fillId="3" borderId="15" xfId="0" applyFont="1" applyFill="1" applyBorder="1" applyAlignment="1"/>
    <xf numFmtId="0" fontId="0" fillId="3" borderId="15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0" borderId="24" xfId="0" applyFont="1" applyBorder="1"/>
    <xf numFmtId="0" fontId="6" fillId="0" borderId="7" xfId="0" applyFont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>
      <selection activeCell="H8" sqref="H8"/>
    </sheetView>
  </sheetViews>
  <sheetFormatPr defaultRowHeight="15"/>
  <cols>
    <col min="1" max="1" width="2.7109375" customWidth="1"/>
    <col min="2" max="2" width="10.140625" style="65" bestFit="1" customWidth="1"/>
    <col min="3" max="3" width="9" style="65" bestFit="1" customWidth="1"/>
    <col min="4" max="4" width="25.7109375" style="65" bestFit="1" customWidth="1"/>
    <col min="5" max="5" width="15.28515625" style="70" bestFit="1" customWidth="1"/>
    <col min="6" max="6" width="42.28515625" style="65" bestFit="1" customWidth="1"/>
    <col min="7" max="7" width="6.42578125" style="76" customWidth="1"/>
    <col min="8" max="8" width="11.5703125" style="77" bestFit="1" customWidth="1"/>
    <col min="9" max="9" width="13.28515625" style="2" bestFit="1" customWidth="1"/>
    <col min="10" max="10" width="11.5703125" style="2" bestFit="1" customWidth="1"/>
    <col min="11" max="11" width="13.28515625" style="2" bestFit="1" customWidth="1"/>
    <col min="12" max="12" width="16.140625" style="51" customWidth="1"/>
  </cols>
  <sheetData>
    <row r="1" spans="1:14" ht="15.75" thickBot="1"/>
    <row r="2" spans="1:14" ht="15" customHeight="1">
      <c r="A2" s="52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/>
    </row>
    <row r="3" spans="1:14" ht="15.75" customHeight="1" thickBot="1">
      <c r="A3" s="55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7"/>
    </row>
    <row r="4" spans="1:14" ht="15.75" thickBot="1">
      <c r="L4" s="80"/>
    </row>
    <row r="5" spans="1:14" s="64" customFormat="1" ht="15.75" thickBot="1">
      <c r="A5" s="83" t="s">
        <v>1</v>
      </c>
      <c r="B5" s="89" t="s">
        <v>2</v>
      </c>
      <c r="C5" s="3" t="s">
        <v>3</v>
      </c>
      <c r="D5" s="3" t="s">
        <v>4</v>
      </c>
      <c r="E5" s="90" t="s">
        <v>5</v>
      </c>
      <c r="F5" s="3" t="s">
        <v>6</v>
      </c>
      <c r="G5" s="4" t="s">
        <v>7</v>
      </c>
      <c r="H5" s="5" t="s">
        <v>8</v>
      </c>
      <c r="I5" s="5" t="s">
        <v>9</v>
      </c>
      <c r="J5" s="5" t="s">
        <v>10</v>
      </c>
      <c r="K5" s="6" t="s">
        <v>11</v>
      </c>
      <c r="L5" s="82" t="s">
        <v>12</v>
      </c>
      <c r="M5" s="7"/>
      <c r="N5" s="8"/>
    </row>
    <row r="6" spans="1:14">
      <c r="A6" s="14"/>
      <c r="B6" s="84"/>
      <c r="C6" s="84"/>
      <c r="D6" s="84"/>
      <c r="E6" s="85"/>
      <c r="F6" s="86"/>
      <c r="G6" s="87"/>
      <c r="H6" s="87"/>
      <c r="I6" s="88"/>
      <c r="J6" s="88"/>
      <c r="K6" s="88"/>
      <c r="L6" s="81"/>
      <c r="M6" s="9"/>
      <c r="N6" s="9"/>
    </row>
    <row r="7" spans="1:14">
      <c r="A7" s="14"/>
      <c r="B7" s="84"/>
      <c r="C7" s="91" t="s">
        <v>107</v>
      </c>
      <c r="D7" s="91" t="s">
        <v>108</v>
      </c>
      <c r="E7" s="85" t="s">
        <v>110</v>
      </c>
      <c r="F7" s="92" t="s">
        <v>109</v>
      </c>
      <c r="G7" s="87"/>
      <c r="H7" s="87"/>
      <c r="I7" s="88"/>
      <c r="J7" s="88"/>
      <c r="K7" s="63">
        <v>34000</v>
      </c>
      <c r="L7" s="38">
        <v>34000</v>
      </c>
      <c r="M7" s="9"/>
      <c r="N7" s="9"/>
    </row>
    <row r="8" spans="1:14">
      <c r="A8" s="14"/>
      <c r="B8" s="84"/>
      <c r="C8" s="84"/>
      <c r="D8" s="84"/>
      <c r="E8" s="85"/>
      <c r="F8" s="86"/>
      <c r="G8" s="87"/>
      <c r="H8" s="87"/>
      <c r="I8" s="88"/>
      <c r="J8" s="88"/>
      <c r="K8" s="63"/>
      <c r="L8" s="38"/>
      <c r="M8" s="9"/>
      <c r="N8" s="9"/>
    </row>
    <row r="9" spans="1:14">
      <c r="A9" s="14"/>
      <c r="B9" s="66" t="s">
        <v>75</v>
      </c>
      <c r="C9" s="66" t="s">
        <v>71</v>
      </c>
      <c r="D9" s="66" t="s">
        <v>72</v>
      </c>
      <c r="E9" s="71">
        <v>211</v>
      </c>
      <c r="F9" s="75" t="s">
        <v>73</v>
      </c>
      <c r="G9" s="78">
        <v>3</v>
      </c>
      <c r="H9" s="78">
        <v>9500</v>
      </c>
      <c r="I9" s="21">
        <f>H9*G9</f>
        <v>28500</v>
      </c>
      <c r="J9" s="21">
        <f>I9*13%</f>
        <v>3705</v>
      </c>
      <c r="K9" s="49">
        <f>J9+I9</f>
        <v>32205</v>
      </c>
      <c r="L9" s="61">
        <f>K9+K10</f>
        <v>42262</v>
      </c>
      <c r="M9" s="9"/>
      <c r="N9" s="9"/>
    </row>
    <row r="10" spans="1:14">
      <c r="A10" s="14"/>
      <c r="B10" s="66"/>
      <c r="C10" s="66"/>
      <c r="D10" s="66"/>
      <c r="E10" s="71"/>
      <c r="F10" s="75" t="s">
        <v>74</v>
      </c>
      <c r="G10" s="78">
        <v>1</v>
      </c>
      <c r="H10" s="78">
        <v>8900</v>
      </c>
      <c r="I10" s="21">
        <f>H10*G10</f>
        <v>8900</v>
      </c>
      <c r="J10" s="21">
        <f>I10*13%</f>
        <v>1157</v>
      </c>
      <c r="K10" s="49">
        <f>J10+I10</f>
        <v>10057</v>
      </c>
      <c r="L10" s="62"/>
      <c r="M10" s="9"/>
      <c r="N10" s="9"/>
    </row>
    <row r="11" spans="1:14">
      <c r="A11" s="14"/>
      <c r="B11" s="66"/>
      <c r="C11" s="66"/>
      <c r="D11" s="66"/>
      <c r="E11" s="71"/>
      <c r="F11" s="75"/>
      <c r="G11" s="78"/>
      <c r="H11" s="78"/>
      <c r="I11" s="21">
        <f t="shared" ref="I11:I14" si="0">H11*G11</f>
        <v>0</v>
      </c>
      <c r="J11" s="21">
        <f t="shared" ref="J11:J14" si="1">I11*13%</f>
        <v>0</v>
      </c>
      <c r="K11" s="49">
        <f t="shared" ref="K11:K14" si="2">J11+I11</f>
        <v>0</v>
      </c>
      <c r="L11" s="73"/>
      <c r="M11" s="9"/>
      <c r="N11" s="9"/>
    </row>
    <row r="12" spans="1:14">
      <c r="A12" s="14"/>
      <c r="B12" s="18" t="s">
        <v>75</v>
      </c>
      <c r="C12" s="18" t="s">
        <v>71</v>
      </c>
      <c r="D12" s="66" t="s">
        <v>81</v>
      </c>
      <c r="E12" s="71" t="s">
        <v>106</v>
      </c>
      <c r="F12" s="75" t="s">
        <v>82</v>
      </c>
      <c r="G12" s="78">
        <v>2</v>
      </c>
      <c r="H12" s="78">
        <v>230.09</v>
      </c>
      <c r="I12" s="21">
        <f t="shared" si="0"/>
        <v>460.18</v>
      </c>
      <c r="J12" s="21">
        <f t="shared" si="1"/>
        <v>59.823399999999999</v>
      </c>
      <c r="K12" s="49">
        <f t="shared" si="2"/>
        <v>520.00340000000006</v>
      </c>
      <c r="L12" s="74">
        <f>K12+K13</f>
        <v>520.00340000000006</v>
      </c>
      <c r="M12" s="9"/>
      <c r="N12" s="9"/>
    </row>
    <row r="13" spans="1:14">
      <c r="A13" s="14"/>
      <c r="B13" s="66"/>
      <c r="C13" s="66"/>
      <c r="D13" s="66"/>
      <c r="E13" s="71"/>
      <c r="F13" s="75"/>
      <c r="G13" s="78"/>
      <c r="H13" s="78"/>
      <c r="I13" s="21">
        <f t="shared" si="0"/>
        <v>0</v>
      </c>
      <c r="J13" s="21">
        <f t="shared" si="1"/>
        <v>0</v>
      </c>
      <c r="K13" s="49">
        <f t="shared" si="2"/>
        <v>0</v>
      </c>
      <c r="L13" s="73"/>
      <c r="M13" s="9"/>
      <c r="N13" s="9"/>
    </row>
    <row r="14" spans="1:14">
      <c r="A14" s="14"/>
      <c r="B14" s="18" t="s">
        <v>75</v>
      </c>
      <c r="C14" s="18" t="s">
        <v>71</v>
      </c>
      <c r="D14" s="66" t="s">
        <v>83</v>
      </c>
      <c r="E14" s="71">
        <v>185</v>
      </c>
      <c r="F14" s="75" t="s">
        <v>84</v>
      </c>
      <c r="G14" s="78">
        <v>1</v>
      </c>
      <c r="H14" s="78">
        <v>25663.72</v>
      </c>
      <c r="I14" s="21">
        <f t="shared" si="0"/>
        <v>25663.72</v>
      </c>
      <c r="J14" s="21">
        <f t="shared" si="1"/>
        <v>3336.2836000000002</v>
      </c>
      <c r="K14" s="49">
        <f t="shared" si="2"/>
        <v>29000.0036</v>
      </c>
      <c r="L14" s="74">
        <f>K14+K15</f>
        <v>29000.0036</v>
      </c>
      <c r="M14" s="9"/>
      <c r="N14" s="9"/>
    </row>
    <row r="15" spans="1:14">
      <c r="A15" s="14"/>
      <c r="B15" s="66"/>
      <c r="C15" s="66"/>
      <c r="D15" s="66"/>
      <c r="E15" s="71"/>
      <c r="F15" s="75"/>
      <c r="G15" s="78"/>
      <c r="H15" s="78"/>
      <c r="I15" s="21">
        <f t="shared" ref="I15:I16" si="3">H15*G15</f>
        <v>0</v>
      </c>
      <c r="J15" s="21">
        <f t="shared" ref="J15:J16" si="4">I15*13%</f>
        <v>0</v>
      </c>
      <c r="K15" s="49">
        <f t="shared" ref="K15:K16" si="5">J15+I15</f>
        <v>0</v>
      </c>
      <c r="L15" s="74"/>
      <c r="M15" s="9"/>
      <c r="N15" s="9"/>
    </row>
    <row r="16" spans="1:14">
      <c r="A16" s="14"/>
      <c r="B16" s="18" t="s">
        <v>76</v>
      </c>
      <c r="C16" s="18" t="s">
        <v>77</v>
      </c>
      <c r="D16" s="66" t="s">
        <v>78</v>
      </c>
      <c r="E16" s="71" t="s">
        <v>79</v>
      </c>
      <c r="F16" s="75" t="s">
        <v>80</v>
      </c>
      <c r="G16" s="78">
        <v>1</v>
      </c>
      <c r="H16" s="78">
        <v>1044</v>
      </c>
      <c r="I16" s="21">
        <f t="shared" si="3"/>
        <v>1044</v>
      </c>
      <c r="J16" s="21">
        <f t="shared" si="4"/>
        <v>135.72</v>
      </c>
      <c r="K16" s="49">
        <f t="shared" si="5"/>
        <v>1179.72</v>
      </c>
      <c r="L16" s="74">
        <f>K16+K17</f>
        <v>1179.72</v>
      </c>
      <c r="M16" s="9"/>
      <c r="N16" s="9"/>
    </row>
    <row r="17" spans="1:14">
      <c r="A17" s="14"/>
      <c r="B17" s="66"/>
      <c r="C17" s="66"/>
      <c r="D17" s="66"/>
      <c r="E17" s="71"/>
      <c r="F17" s="75"/>
      <c r="G17" s="78"/>
      <c r="H17" s="78"/>
      <c r="I17" s="21"/>
      <c r="J17" s="21"/>
      <c r="K17" s="49"/>
      <c r="L17" s="74"/>
      <c r="M17" s="9"/>
      <c r="N17" s="9"/>
    </row>
    <row r="18" spans="1:14">
      <c r="A18" s="14"/>
      <c r="B18" s="66" t="s">
        <v>63</v>
      </c>
      <c r="C18" s="18" t="s">
        <v>92</v>
      </c>
      <c r="D18" s="66" t="s">
        <v>64</v>
      </c>
      <c r="E18" s="71">
        <v>11</v>
      </c>
      <c r="F18" s="75" t="s">
        <v>65</v>
      </c>
      <c r="G18" s="78">
        <v>1</v>
      </c>
      <c r="H18" s="78">
        <v>22000</v>
      </c>
      <c r="I18" s="21">
        <f t="shared" ref="I18:I27" si="6">H18*G18</f>
        <v>22000</v>
      </c>
      <c r="J18" s="21">
        <f t="shared" ref="J18:J27" si="7">I18*13%</f>
        <v>2860</v>
      </c>
      <c r="K18" s="49">
        <f t="shared" ref="K18:K30" si="8">J18+I18</f>
        <v>24860</v>
      </c>
      <c r="L18" s="74">
        <f>K18+K19</f>
        <v>24860</v>
      </c>
      <c r="M18" s="9"/>
      <c r="N18" s="9"/>
    </row>
    <row r="19" spans="1:14">
      <c r="A19" s="14"/>
      <c r="B19" s="66"/>
      <c r="C19" s="66"/>
      <c r="D19" s="66"/>
      <c r="E19" s="71"/>
      <c r="F19" s="75"/>
      <c r="G19" s="78"/>
      <c r="H19" s="78"/>
      <c r="I19" s="21">
        <f t="shared" si="6"/>
        <v>0</v>
      </c>
      <c r="J19" s="21">
        <f t="shared" si="7"/>
        <v>0</v>
      </c>
      <c r="K19" s="49">
        <f t="shared" si="8"/>
        <v>0</v>
      </c>
      <c r="L19" s="38"/>
      <c r="M19" s="9"/>
      <c r="N19" s="9"/>
    </row>
    <row r="20" spans="1:14">
      <c r="A20" s="14"/>
      <c r="B20" s="18" t="s">
        <v>85</v>
      </c>
      <c r="C20" s="18" t="s">
        <v>92</v>
      </c>
      <c r="D20" s="66" t="s">
        <v>86</v>
      </c>
      <c r="E20" s="71">
        <v>1</v>
      </c>
      <c r="F20" s="75" t="s">
        <v>87</v>
      </c>
      <c r="G20" s="78">
        <v>1</v>
      </c>
      <c r="H20" s="78">
        <v>85523</v>
      </c>
      <c r="I20" s="21">
        <f t="shared" si="6"/>
        <v>85523</v>
      </c>
      <c r="J20" s="21">
        <f t="shared" si="7"/>
        <v>11117.99</v>
      </c>
      <c r="K20" s="49">
        <f t="shared" si="8"/>
        <v>96640.99</v>
      </c>
      <c r="L20" s="61">
        <f>K20+K21+K22+K23+K24</f>
        <v>518599.94</v>
      </c>
      <c r="M20" s="9"/>
      <c r="N20" s="9"/>
    </row>
    <row r="21" spans="1:14">
      <c r="A21" s="14"/>
      <c r="B21" s="66"/>
      <c r="C21" s="66"/>
      <c r="D21" s="66"/>
      <c r="E21" s="71"/>
      <c r="F21" s="75" t="s">
        <v>88</v>
      </c>
      <c r="G21" s="78">
        <v>1</v>
      </c>
      <c r="H21" s="78">
        <v>74518.5</v>
      </c>
      <c r="I21" s="21">
        <f t="shared" si="6"/>
        <v>74518.5</v>
      </c>
      <c r="J21" s="21">
        <f t="shared" si="7"/>
        <v>9687.4050000000007</v>
      </c>
      <c r="K21" s="49">
        <f t="shared" si="8"/>
        <v>84205.904999999999</v>
      </c>
      <c r="L21" s="72"/>
      <c r="M21" s="9"/>
      <c r="N21" s="9"/>
    </row>
    <row r="22" spans="1:14">
      <c r="A22" s="14"/>
      <c r="B22" s="66"/>
      <c r="C22" s="66"/>
      <c r="D22" s="66"/>
      <c r="E22" s="71"/>
      <c r="F22" s="75" t="s">
        <v>89</v>
      </c>
      <c r="G22" s="78">
        <v>1</v>
      </c>
      <c r="H22" s="78">
        <v>64648.5</v>
      </c>
      <c r="I22" s="21">
        <f t="shared" si="6"/>
        <v>64648.5</v>
      </c>
      <c r="J22" s="21">
        <f t="shared" si="7"/>
        <v>8404.3050000000003</v>
      </c>
      <c r="K22" s="49">
        <f t="shared" si="8"/>
        <v>73052.804999999993</v>
      </c>
      <c r="L22" s="72"/>
      <c r="M22" s="9"/>
      <c r="N22" s="9"/>
    </row>
    <row r="23" spans="1:14">
      <c r="A23" s="14"/>
      <c r="B23" s="66"/>
      <c r="C23" s="66"/>
      <c r="D23" s="66"/>
      <c r="E23" s="71"/>
      <c r="F23" s="75" t="s">
        <v>90</v>
      </c>
      <c r="G23" s="78">
        <v>2</v>
      </c>
      <c r="H23" s="78">
        <v>93806.125</v>
      </c>
      <c r="I23" s="21">
        <f t="shared" si="6"/>
        <v>187612.25</v>
      </c>
      <c r="J23" s="21">
        <f t="shared" si="7"/>
        <v>24389.592500000002</v>
      </c>
      <c r="K23" s="49">
        <f t="shared" si="8"/>
        <v>212001.8425</v>
      </c>
      <c r="L23" s="72"/>
      <c r="M23" s="9"/>
      <c r="N23" s="9"/>
    </row>
    <row r="24" spans="1:14">
      <c r="A24" s="14"/>
      <c r="B24" s="66"/>
      <c r="C24" s="66"/>
      <c r="D24" s="66"/>
      <c r="E24" s="71"/>
      <c r="F24" s="75" t="s">
        <v>91</v>
      </c>
      <c r="G24" s="78">
        <v>2</v>
      </c>
      <c r="H24" s="78">
        <v>23317.875</v>
      </c>
      <c r="I24" s="21">
        <f t="shared" si="6"/>
        <v>46635.75</v>
      </c>
      <c r="J24" s="21">
        <f t="shared" si="7"/>
        <v>6062.6475</v>
      </c>
      <c r="K24" s="49">
        <f t="shared" si="8"/>
        <v>52698.397499999999</v>
      </c>
      <c r="L24" s="62"/>
      <c r="M24" s="9"/>
      <c r="N24" s="9"/>
    </row>
    <row r="25" spans="1:14">
      <c r="A25" s="14"/>
      <c r="B25" s="66"/>
      <c r="C25" s="66"/>
      <c r="D25" s="66"/>
      <c r="E25" s="71"/>
      <c r="F25" s="75"/>
      <c r="G25" s="78"/>
      <c r="H25" s="78"/>
      <c r="I25" s="21"/>
      <c r="J25" s="21"/>
      <c r="K25" s="49"/>
      <c r="L25" s="38"/>
      <c r="M25" s="9"/>
      <c r="N25" s="9"/>
    </row>
    <row r="26" spans="1:14">
      <c r="A26" s="14"/>
      <c r="B26" s="66" t="s">
        <v>66</v>
      </c>
      <c r="C26" s="18" t="s">
        <v>93</v>
      </c>
      <c r="D26" s="66" t="s">
        <v>67</v>
      </c>
      <c r="E26" s="71">
        <v>12</v>
      </c>
      <c r="F26" s="75" t="s">
        <v>68</v>
      </c>
      <c r="G26" s="78">
        <v>4</v>
      </c>
      <c r="H26" s="78">
        <v>5100</v>
      </c>
      <c r="I26" s="21">
        <f t="shared" si="6"/>
        <v>20400</v>
      </c>
      <c r="J26" s="21">
        <f t="shared" si="7"/>
        <v>2652</v>
      </c>
      <c r="K26" s="49">
        <f t="shared" si="8"/>
        <v>23052</v>
      </c>
      <c r="L26" s="38">
        <f>K26</f>
        <v>23052</v>
      </c>
      <c r="M26" s="9"/>
      <c r="N26" s="9"/>
    </row>
    <row r="27" spans="1:14">
      <c r="A27" s="14"/>
      <c r="B27" s="66"/>
      <c r="C27" s="66"/>
      <c r="D27" s="66"/>
      <c r="E27" s="71"/>
      <c r="F27" s="75"/>
      <c r="G27" s="78"/>
      <c r="H27" s="78"/>
      <c r="I27" s="21">
        <f t="shared" si="6"/>
        <v>0</v>
      </c>
      <c r="J27" s="21">
        <f t="shared" si="7"/>
        <v>0</v>
      </c>
      <c r="K27" s="49">
        <f t="shared" si="8"/>
        <v>0</v>
      </c>
      <c r="L27" s="38"/>
      <c r="M27" s="9"/>
      <c r="N27" s="9"/>
    </row>
    <row r="28" spans="1:14">
      <c r="A28" s="14"/>
      <c r="B28" s="66" t="s">
        <v>69</v>
      </c>
      <c r="C28" s="18" t="s">
        <v>94</v>
      </c>
      <c r="D28" s="66" t="s">
        <v>67</v>
      </c>
      <c r="E28" s="71">
        <v>15</v>
      </c>
      <c r="F28" s="75" t="s">
        <v>70</v>
      </c>
      <c r="G28" s="78">
        <v>1</v>
      </c>
      <c r="H28" s="78">
        <v>53097.35</v>
      </c>
      <c r="I28" s="21">
        <f t="shared" ref="I28:I30" si="9">H28*G28</f>
        <v>53097.35</v>
      </c>
      <c r="J28" s="21">
        <f t="shared" ref="J28:J30" si="10">I28*13%</f>
        <v>6902.6554999999998</v>
      </c>
      <c r="K28" s="49">
        <f t="shared" si="8"/>
        <v>60000.005499999999</v>
      </c>
      <c r="L28" s="38">
        <f>K28</f>
        <v>60000.005499999999</v>
      </c>
      <c r="M28" s="9"/>
      <c r="N28" s="9"/>
    </row>
    <row r="29" spans="1:14">
      <c r="A29" s="14"/>
      <c r="B29" s="66"/>
      <c r="C29" s="66"/>
      <c r="D29" s="66"/>
      <c r="E29" s="71"/>
      <c r="F29" s="75"/>
      <c r="G29" s="78"/>
      <c r="H29" s="78"/>
      <c r="I29" s="21">
        <f t="shared" si="9"/>
        <v>0</v>
      </c>
      <c r="J29" s="21">
        <f t="shared" si="10"/>
        <v>0</v>
      </c>
      <c r="K29" s="49">
        <f t="shared" si="8"/>
        <v>0</v>
      </c>
      <c r="L29" s="38"/>
      <c r="M29" s="9"/>
      <c r="N29" s="9"/>
    </row>
    <row r="30" spans="1:14">
      <c r="A30" s="14"/>
      <c r="B30" s="18" t="s">
        <v>99</v>
      </c>
      <c r="C30" s="18" t="s">
        <v>100</v>
      </c>
      <c r="D30" s="66" t="s">
        <v>101</v>
      </c>
      <c r="E30" s="71">
        <v>558</v>
      </c>
      <c r="F30" s="75" t="s">
        <v>102</v>
      </c>
      <c r="G30" s="78">
        <v>1</v>
      </c>
      <c r="H30" s="78">
        <v>6200</v>
      </c>
      <c r="I30" s="21">
        <f t="shared" si="9"/>
        <v>6200</v>
      </c>
      <c r="J30" s="21">
        <f t="shared" si="10"/>
        <v>806</v>
      </c>
      <c r="K30" s="49">
        <f t="shared" si="8"/>
        <v>7006</v>
      </c>
      <c r="L30" s="38">
        <f>K30</f>
        <v>7006</v>
      </c>
      <c r="M30" s="9"/>
      <c r="N30" s="9"/>
    </row>
    <row r="31" spans="1:14">
      <c r="A31" s="14"/>
      <c r="B31" s="66"/>
      <c r="C31" s="66"/>
      <c r="D31" s="66"/>
      <c r="E31" s="71"/>
      <c r="F31" s="75"/>
      <c r="G31" s="78"/>
      <c r="H31" s="78"/>
      <c r="I31" s="21"/>
      <c r="J31" s="21"/>
      <c r="K31" s="49"/>
      <c r="L31" s="38"/>
      <c r="M31" s="9"/>
      <c r="N31" s="9"/>
    </row>
    <row r="32" spans="1:14">
      <c r="A32" s="16"/>
      <c r="B32" s="67" t="s">
        <v>14</v>
      </c>
      <c r="C32" s="18" t="s">
        <v>95</v>
      </c>
      <c r="D32" s="66" t="s">
        <v>15</v>
      </c>
      <c r="E32" s="71">
        <v>1</v>
      </c>
      <c r="F32" s="69" t="s">
        <v>16</v>
      </c>
      <c r="G32" s="67">
        <v>2</v>
      </c>
      <c r="H32" s="79">
        <v>82830</v>
      </c>
      <c r="I32" s="21">
        <f>H32*G32</f>
        <v>165660</v>
      </c>
      <c r="J32" s="21">
        <f>I32*13%</f>
        <v>21535.8</v>
      </c>
      <c r="K32" s="49">
        <f>J32+I32</f>
        <v>187195.8</v>
      </c>
      <c r="L32" s="58">
        <f>K32+K33</f>
        <v>490939.8</v>
      </c>
      <c r="M32" s="9"/>
      <c r="N32" s="9"/>
    </row>
    <row r="33" spans="1:12">
      <c r="A33" s="18"/>
      <c r="B33" s="67"/>
      <c r="C33" s="66"/>
      <c r="D33" s="66"/>
      <c r="E33" s="71"/>
      <c r="F33" s="69" t="s">
        <v>17</v>
      </c>
      <c r="G33" s="67">
        <v>2</v>
      </c>
      <c r="H33" s="79">
        <v>134400</v>
      </c>
      <c r="I33" s="21">
        <f>H33*G33</f>
        <v>268800</v>
      </c>
      <c r="J33" s="21">
        <f>I33*13%</f>
        <v>34944</v>
      </c>
      <c r="K33" s="49">
        <f>J33+I33</f>
        <v>303744</v>
      </c>
      <c r="L33" s="58"/>
    </row>
    <row r="34" spans="1:12">
      <c r="A34" s="23"/>
      <c r="B34" s="68"/>
      <c r="C34" s="68"/>
      <c r="D34" s="68"/>
      <c r="E34" s="71"/>
      <c r="F34" s="66"/>
      <c r="G34" s="19"/>
      <c r="H34" s="21"/>
      <c r="I34" s="21">
        <f t="shared" ref="I34:I57" si="11">H34*G34</f>
        <v>0</v>
      </c>
      <c r="J34" s="21">
        <f t="shared" ref="J34:J56" si="12">I34*13%</f>
        <v>0</v>
      </c>
      <c r="K34" s="49">
        <f t="shared" ref="K34:K57" si="13">J34+I34</f>
        <v>0</v>
      </c>
      <c r="L34" s="73"/>
    </row>
    <row r="35" spans="1:12">
      <c r="A35" s="23"/>
      <c r="B35" s="69" t="s">
        <v>18</v>
      </c>
      <c r="C35" s="24" t="s">
        <v>96</v>
      </c>
      <c r="D35" s="68" t="s">
        <v>15</v>
      </c>
      <c r="E35" s="71">
        <v>2</v>
      </c>
      <c r="F35" s="69" t="s">
        <v>19</v>
      </c>
      <c r="G35" s="67">
        <v>10</v>
      </c>
      <c r="H35" s="79">
        <v>64022.11</v>
      </c>
      <c r="I35" s="21">
        <f t="shared" si="11"/>
        <v>640221.1</v>
      </c>
      <c r="J35" s="21">
        <f t="shared" si="12"/>
        <v>83228.743000000002</v>
      </c>
      <c r="K35" s="49">
        <f t="shared" si="13"/>
        <v>723449.84299999999</v>
      </c>
      <c r="L35" s="61">
        <f>K35+K36+K37+K38+K39+K40</f>
        <v>1314208.1930000002</v>
      </c>
    </row>
    <row r="36" spans="1:12">
      <c r="A36" s="23"/>
      <c r="B36" s="68"/>
      <c r="C36" s="68"/>
      <c r="D36" s="68"/>
      <c r="E36" s="71"/>
      <c r="F36" s="69" t="s">
        <v>20</v>
      </c>
      <c r="G36" s="67">
        <v>10</v>
      </c>
      <c r="H36" s="79">
        <v>9077.25</v>
      </c>
      <c r="I36" s="21">
        <f t="shared" si="11"/>
        <v>90772.5</v>
      </c>
      <c r="J36" s="21">
        <f t="shared" si="12"/>
        <v>11800.425000000001</v>
      </c>
      <c r="K36" s="49">
        <f t="shared" si="13"/>
        <v>102572.925</v>
      </c>
      <c r="L36" s="72"/>
    </row>
    <row r="37" spans="1:12">
      <c r="A37" s="23"/>
      <c r="B37" s="68"/>
      <c r="C37" s="68"/>
      <c r="D37" s="68"/>
      <c r="E37" s="71"/>
      <c r="F37" s="69" t="s">
        <v>21</v>
      </c>
      <c r="G37" s="67">
        <v>50</v>
      </c>
      <c r="H37" s="79">
        <v>5664.75</v>
      </c>
      <c r="I37" s="21">
        <f t="shared" si="11"/>
        <v>283237.5</v>
      </c>
      <c r="J37" s="21">
        <f t="shared" si="12"/>
        <v>36820.875</v>
      </c>
      <c r="K37" s="49">
        <f t="shared" si="13"/>
        <v>320058.375</v>
      </c>
      <c r="L37" s="72"/>
    </row>
    <row r="38" spans="1:12">
      <c r="A38" s="23"/>
      <c r="B38" s="68"/>
      <c r="C38" s="68"/>
      <c r="D38" s="68"/>
      <c r="E38" s="71"/>
      <c r="F38" s="69" t="s">
        <v>22</v>
      </c>
      <c r="G38" s="67">
        <v>20</v>
      </c>
      <c r="H38" s="79">
        <v>1365</v>
      </c>
      <c r="I38" s="21">
        <f t="shared" si="11"/>
        <v>27300</v>
      </c>
      <c r="J38" s="21">
        <f t="shared" si="12"/>
        <v>3549</v>
      </c>
      <c r="K38" s="49">
        <f t="shared" si="13"/>
        <v>30849</v>
      </c>
      <c r="L38" s="72"/>
    </row>
    <row r="39" spans="1:12">
      <c r="A39" s="23"/>
      <c r="B39" s="68"/>
      <c r="C39" s="68"/>
      <c r="D39" s="68"/>
      <c r="E39" s="71"/>
      <c r="F39" s="69" t="s">
        <v>13</v>
      </c>
      <c r="G39" s="67">
        <v>20</v>
      </c>
      <c r="H39" s="79">
        <v>2047.5</v>
      </c>
      <c r="I39" s="21">
        <f t="shared" si="11"/>
        <v>40950</v>
      </c>
      <c r="J39" s="21">
        <f t="shared" si="12"/>
        <v>5323.5</v>
      </c>
      <c r="K39" s="49">
        <f t="shared" si="13"/>
        <v>46273.5</v>
      </c>
      <c r="L39" s="72"/>
    </row>
    <row r="40" spans="1:12">
      <c r="A40" s="23"/>
      <c r="B40" s="68"/>
      <c r="C40" s="68"/>
      <c r="D40" s="68"/>
      <c r="E40" s="71"/>
      <c r="F40" s="69" t="s">
        <v>23</v>
      </c>
      <c r="G40" s="67">
        <v>20</v>
      </c>
      <c r="H40" s="79">
        <v>4026.75</v>
      </c>
      <c r="I40" s="21">
        <f t="shared" si="11"/>
        <v>80535</v>
      </c>
      <c r="J40" s="21">
        <f t="shared" si="12"/>
        <v>10469.550000000001</v>
      </c>
      <c r="K40" s="49">
        <f t="shared" si="13"/>
        <v>91004.55</v>
      </c>
      <c r="L40" s="62"/>
    </row>
    <row r="41" spans="1:12">
      <c r="A41" s="23"/>
      <c r="B41" s="68"/>
      <c r="C41" s="68"/>
      <c r="D41" s="68"/>
      <c r="E41" s="71"/>
      <c r="F41" s="66"/>
      <c r="G41" s="19"/>
      <c r="H41" s="21"/>
      <c r="I41" s="21">
        <f t="shared" si="11"/>
        <v>0</v>
      </c>
      <c r="J41" s="21">
        <f t="shared" si="12"/>
        <v>0</v>
      </c>
      <c r="K41" s="49">
        <f t="shared" si="13"/>
        <v>0</v>
      </c>
      <c r="L41" s="73"/>
    </row>
    <row r="42" spans="1:12">
      <c r="A42" s="23"/>
      <c r="B42" s="69" t="s">
        <v>24</v>
      </c>
      <c r="C42" s="24" t="s">
        <v>97</v>
      </c>
      <c r="D42" s="68" t="s">
        <v>25</v>
      </c>
      <c r="E42" s="71">
        <v>3</v>
      </c>
      <c r="F42" s="69" t="s">
        <v>26</v>
      </c>
      <c r="G42" s="67">
        <v>10</v>
      </c>
      <c r="H42" s="79">
        <v>172754.4</v>
      </c>
      <c r="I42" s="21">
        <f t="shared" si="11"/>
        <v>1727544</v>
      </c>
      <c r="J42" s="21">
        <f t="shared" si="12"/>
        <v>224580.72</v>
      </c>
      <c r="K42" s="49">
        <f t="shared" si="13"/>
        <v>1952124.72</v>
      </c>
      <c r="L42" s="61">
        <f>K42+K43</f>
        <v>2041586.82</v>
      </c>
    </row>
    <row r="43" spans="1:12">
      <c r="A43" s="23"/>
      <c r="B43" s="68"/>
      <c r="C43" s="68"/>
      <c r="D43" s="68"/>
      <c r="E43" s="71"/>
      <c r="F43" s="69" t="s">
        <v>27</v>
      </c>
      <c r="G43" s="67">
        <v>20</v>
      </c>
      <c r="H43" s="79">
        <v>3958.5</v>
      </c>
      <c r="I43" s="21">
        <f t="shared" si="11"/>
        <v>79170</v>
      </c>
      <c r="J43" s="21">
        <f t="shared" si="12"/>
        <v>10292.1</v>
      </c>
      <c r="K43" s="49">
        <f t="shared" si="13"/>
        <v>89462.1</v>
      </c>
      <c r="L43" s="62"/>
    </row>
    <row r="44" spans="1:12">
      <c r="A44" s="23"/>
      <c r="B44" s="68"/>
      <c r="C44" s="68"/>
      <c r="D44" s="68"/>
      <c r="E44" s="71"/>
      <c r="F44" s="66"/>
      <c r="G44" s="19"/>
      <c r="H44" s="21"/>
      <c r="I44" s="21">
        <f t="shared" si="11"/>
        <v>0</v>
      </c>
      <c r="J44" s="21">
        <f t="shared" si="12"/>
        <v>0</v>
      </c>
      <c r="K44" s="49">
        <f t="shared" si="13"/>
        <v>0</v>
      </c>
      <c r="L44" s="73"/>
    </row>
    <row r="45" spans="1:12">
      <c r="A45" s="23"/>
      <c r="B45" s="24" t="s">
        <v>103</v>
      </c>
      <c r="C45" s="24" t="s">
        <v>104</v>
      </c>
      <c r="D45" s="68" t="s">
        <v>51</v>
      </c>
      <c r="E45" s="71">
        <v>534</v>
      </c>
      <c r="F45" s="66" t="s">
        <v>105</v>
      </c>
      <c r="G45" s="19">
        <v>3</v>
      </c>
      <c r="H45" s="21">
        <v>44395.28</v>
      </c>
      <c r="I45" s="21">
        <f t="shared" si="11"/>
        <v>133185.84</v>
      </c>
      <c r="J45" s="21">
        <f t="shared" si="12"/>
        <v>17314.159200000002</v>
      </c>
      <c r="K45" s="49">
        <f t="shared" si="13"/>
        <v>150499.99919999999</v>
      </c>
      <c r="L45" s="61">
        <f>K45+K46</f>
        <v>156940.99919999999</v>
      </c>
    </row>
    <row r="46" spans="1:12">
      <c r="A46" s="23"/>
      <c r="B46" s="68"/>
      <c r="C46" s="68"/>
      <c r="D46" s="68"/>
      <c r="E46" s="71"/>
      <c r="F46" s="66" t="s">
        <v>52</v>
      </c>
      <c r="G46" s="19">
        <v>3</v>
      </c>
      <c r="H46" s="21">
        <v>1900</v>
      </c>
      <c r="I46" s="21">
        <f t="shared" si="11"/>
        <v>5700</v>
      </c>
      <c r="J46" s="21">
        <f t="shared" si="12"/>
        <v>741</v>
      </c>
      <c r="K46" s="49">
        <f t="shared" si="13"/>
        <v>6441</v>
      </c>
      <c r="L46" s="62"/>
    </row>
    <row r="47" spans="1:12">
      <c r="A47" s="23"/>
      <c r="B47" s="68"/>
      <c r="C47" s="68"/>
      <c r="D47" s="68"/>
      <c r="E47" s="71"/>
      <c r="F47" s="66"/>
      <c r="G47" s="19"/>
      <c r="H47" s="21"/>
      <c r="I47" s="21"/>
      <c r="J47" s="21"/>
      <c r="K47" s="49"/>
      <c r="L47" s="73"/>
    </row>
    <row r="48" spans="1:12">
      <c r="A48" s="23"/>
      <c r="B48" s="69" t="s">
        <v>28</v>
      </c>
      <c r="C48" s="24" t="s">
        <v>98</v>
      </c>
      <c r="D48" s="68" t="s">
        <v>25</v>
      </c>
      <c r="E48" s="71">
        <v>4</v>
      </c>
      <c r="F48" s="69" t="s">
        <v>29</v>
      </c>
      <c r="G48" s="67">
        <v>5</v>
      </c>
      <c r="H48" s="79">
        <v>142539.82</v>
      </c>
      <c r="I48" s="21">
        <f t="shared" si="11"/>
        <v>712699.10000000009</v>
      </c>
      <c r="J48" s="21">
        <f t="shared" si="12"/>
        <v>92650.883000000016</v>
      </c>
      <c r="K48" s="49">
        <f t="shared" si="13"/>
        <v>805349.98300000012</v>
      </c>
      <c r="L48" s="61">
        <f>K48+K49</f>
        <v>2269443.523</v>
      </c>
    </row>
    <row r="49" spans="1:12">
      <c r="A49" s="18"/>
      <c r="B49" s="66"/>
      <c r="C49" s="66"/>
      <c r="D49" s="66"/>
      <c r="E49" s="71"/>
      <c r="F49" s="69" t="s">
        <v>30</v>
      </c>
      <c r="G49" s="67">
        <v>5</v>
      </c>
      <c r="H49" s="79">
        <v>259131.6</v>
      </c>
      <c r="I49" s="21">
        <f t="shared" si="11"/>
        <v>1295658</v>
      </c>
      <c r="J49" s="21">
        <f t="shared" si="12"/>
        <v>168435.54</v>
      </c>
      <c r="K49" s="49">
        <f t="shared" si="13"/>
        <v>1464093.54</v>
      </c>
      <c r="L49" s="62"/>
    </row>
    <row r="50" spans="1:12">
      <c r="A50" s="18"/>
      <c r="B50" s="66"/>
      <c r="C50" s="66"/>
      <c r="D50" s="66"/>
      <c r="E50" s="71"/>
      <c r="F50" s="66"/>
      <c r="G50" s="19"/>
      <c r="H50" s="21"/>
      <c r="I50" s="21">
        <f t="shared" si="11"/>
        <v>0</v>
      </c>
      <c r="J50" s="21">
        <f t="shared" si="12"/>
        <v>0</v>
      </c>
      <c r="K50" s="49">
        <f t="shared" si="13"/>
        <v>0</v>
      </c>
      <c r="L50" s="38"/>
    </row>
    <row r="51" spans="1:12" ht="15" customHeight="1">
      <c r="A51" s="18"/>
      <c r="B51" s="66"/>
      <c r="C51" s="66"/>
      <c r="D51" s="66"/>
      <c r="E51" s="71"/>
      <c r="F51" s="66"/>
      <c r="G51" s="19"/>
      <c r="H51" s="21"/>
      <c r="I51" s="21">
        <f t="shared" si="11"/>
        <v>0</v>
      </c>
      <c r="J51" s="21">
        <f t="shared" si="12"/>
        <v>0</v>
      </c>
      <c r="K51" s="49">
        <f t="shared" si="13"/>
        <v>0</v>
      </c>
      <c r="L51" s="39">
        <f>SUM(L9:L50)</f>
        <v>6979599.0077000009</v>
      </c>
    </row>
    <row r="52" spans="1:12" ht="15" customHeight="1">
      <c r="A52" s="18"/>
      <c r="B52" s="66"/>
      <c r="C52" s="66"/>
      <c r="D52" s="66"/>
      <c r="E52" s="71"/>
      <c r="F52" s="66"/>
      <c r="G52" s="19"/>
      <c r="H52" s="21"/>
      <c r="I52" s="21">
        <f t="shared" si="11"/>
        <v>0</v>
      </c>
      <c r="J52" s="21">
        <f t="shared" si="12"/>
        <v>0</v>
      </c>
      <c r="K52" s="49">
        <f t="shared" si="13"/>
        <v>0</v>
      </c>
      <c r="L52" s="39"/>
    </row>
    <row r="53" spans="1:12" ht="15" customHeight="1">
      <c r="A53" s="18"/>
      <c r="B53" s="66"/>
      <c r="C53" s="66"/>
      <c r="D53" s="66"/>
      <c r="E53" s="71"/>
      <c r="F53" s="66"/>
      <c r="G53" s="19"/>
      <c r="H53" s="21"/>
      <c r="I53" s="21">
        <f t="shared" si="11"/>
        <v>0</v>
      </c>
      <c r="J53" s="21">
        <f t="shared" si="12"/>
        <v>0</v>
      </c>
      <c r="K53" s="49">
        <f t="shared" si="13"/>
        <v>0</v>
      </c>
      <c r="L53" s="39"/>
    </row>
    <row r="54" spans="1:12" ht="15" customHeight="1">
      <c r="A54" s="18"/>
      <c r="B54" s="66"/>
      <c r="C54" s="66"/>
      <c r="D54" s="66"/>
      <c r="E54" s="71"/>
      <c r="F54" s="66"/>
      <c r="G54" s="19"/>
      <c r="H54" s="21"/>
      <c r="I54" s="21">
        <f t="shared" si="11"/>
        <v>0</v>
      </c>
      <c r="J54" s="21">
        <f t="shared" si="12"/>
        <v>0</v>
      </c>
      <c r="K54" s="49">
        <f t="shared" si="13"/>
        <v>0</v>
      </c>
      <c r="L54" s="39"/>
    </row>
    <row r="55" spans="1:12" ht="15" customHeight="1">
      <c r="A55" s="18"/>
      <c r="B55" s="66"/>
      <c r="C55" s="66"/>
      <c r="D55" s="66"/>
      <c r="E55" s="71"/>
      <c r="F55" s="66"/>
      <c r="G55" s="19"/>
      <c r="H55" s="21"/>
      <c r="I55" s="21">
        <f t="shared" si="11"/>
        <v>0</v>
      </c>
      <c r="J55" s="21">
        <f t="shared" si="12"/>
        <v>0</v>
      </c>
      <c r="K55" s="49">
        <f t="shared" si="13"/>
        <v>0</v>
      </c>
      <c r="L55" s="39"/>
    </row>
    <row r="56" spans="1:12" ht="15" customHeight="1">
      <c r="A56" s="18"/>
      <c r="B56" s="66"/>
      <c r="C56" s="66"/>
      <c r="D56" s="66"/>
      <c r="E56" s="71"/>
      <c r="F56" s="66"/>
      <c r="G56" s="19"/>
      <c r="H56" s="21"/>
      <c r="I56" s="21">
        <f t="shared" si="11"/>
        <v>0</v>
      </c>
      <c r="J56" s="21">
        <f t="shared" si="12"/>
        <v>0</v>
      </c>
      <c r="K56" s="49">
        <f t="shared" si="13"/>
        <v>0</v>
      </c>
      <c r="L56" s="39"/>
    </row>
    <row r="57" spans="1:12" ht="15" customHeight="1">
      <c r="A57" s="18"/>
      <c r="B57" s="66"/>
      <c r="C57" s="66"/>
      <c r="D57" s="66"/>
      <c r="E57" s="71"/>
      <c r="F57" s="66"/>
      <c r="G57" s="19"/>
      <c r="H57" s="21"/>
      <c r="I57" s="21">
        <f t="shared" si="11"/>
        <v>0</v>
      </c>
      <c r="J57" s="25"/>
      <c r="K57" s="49">
        <f t="shared" si="13"/>
        <v>0</v>
      </c>
      <c r="L57" s="39"/>
    </row>
    <row r="58" spans="1:12" ht="15.75" customHeight="1" thickBot="1">
      <c r="A58" s="18"/>
      <c r="B58" s="66"/>
      <c r="C58" s="66"/>
      <c r="D58" s="66"/>
      <c r="E58" s="71"/>
      <c r="F58" s="66"/>
      <c r="G58" s="19"/>
      <c r="H58" s="21"/>
      <c r="I58" s="25"/>
      <c r="J58" s="26"/>
      <c r="K58" s="27"/>
      <c r="L58" s="39"/>
    </row>
    <row r="59" spans="1:12" ht="15.75" thickBot="1">
      <c r="A59" s="18"/>
      <c r="B59" s="66"/>
      <c r="C59" s="66"/>
      <c r="D59" s="66"/>
      <c r="E59" s="71"/>
      <c r="F59" s="66"/>
      <c r="G59" s="19"/>
      <c r="H59" s="21"/>
      <c r="I59" s="27"/>
      <c r="J59" s="28"/>
      <c r="K59" s="50"/>
      <c r="L59" s="38"/>
    </row>
    <row r="60" spans="1:12">
      <c r="A60" s="18"/>
      <c r="B60" s="66"/>
      <c r="C60" s="66"/>
      <c r="D60" s="66"/>
      <c r="E60" s="71"/>
      <c r="F60" s="66"/>
      <c r="G60" s="19"/>
      <c r="H60" s="21"/>
      <c r="I60" s="25"/>
      <c r="J60" s="30"/>
      <c r="K60" s="27"/>
      <c r="L60" s="38"/>
    </row>
  </sheetData>
  <mergeCells count="8">
    <mergeCell ref="L45:L46"/>
    <mergeCell ref="L42:L43"/>
    <mergeCell ref="L35:L40"/>
    <mergeCell ref="L48:L49"/>
    <mergeCell ref="A2:N3"/>
    <mergeCell ref="L32:L33"/>
    <mergeCell ref="L9:L10"/>
    <mergeCell ref="L20:L2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E32"/>
  <sheetViews>
    <sheetView topLeftCell="A4" workbookViewId="0">
      <selection activeCell="E7" sqref="E7:E17"/>
    </sheetView>
  </sheetViews>
  <sheetFormatPr defaultRowHeight="15"/>
  <cols>
    <col min="1" max="1" width="5.140625" bestFit="1" customWidth="1"/>
    <col min="2" max="2" width="12" customWidth="1"/>
    <col min="3" max="3" width="10.42578125" customWidth="1"/>
    <col min="4" max="4" width="57.42578125" customWidth="1"/>
    <col min="5" max="5" width="11.5703125" bestFit="1" customWidth="1"/>
  </cols>
  <sheetData>
    <row r="4" spans="1:5" ht="15.75" thickBot="1"/>
    <row r="5" spans="1:5">
      <c r="A5" s="11" t="s">
        <v>1</v>
      </c>
      <c r="B5" s="12" t="s">
        <v>2</v>
      </c>
      <c r="C5" s="12" t="s">
        <v>3</v>
      </c>
      <c r="D5" s="12" t="s">
        <v>4</v>
      </c>
      <c r="E5" s="31" t="s">
        <v>31</v>
      </c>
    </row>
    <row r="6" spans="1:5">
      <c r="A6" s="14"/>
      <c r="B6" s="14"/>
      <c r="C6" s="14"/>
      <c r="D6" s="14"/>
      <c r="E6" s="10"/>
    </row>
    <row r="7" spans="1:5">
      <c r="A7" s="16"/>
      <c r="B7" s="17"/>
      <c r="C7" s="32">
        <v>44990</v>
      </c>
      <c r="D7" s="33" t="s">
        <v>32</v>
      </c>
      <c r="E7" s="20">
        <v>208000</v>
      </c>
    </row>
    <row r="8" spans="1:5" ht="30">
      <c r="A8" s="18"/>
      <c r="B8" s="17"/>
      <c r="C8" s="32">
        <v>44990</v>
      </c>
      <c r="D8" s="33" t="s">
        <v>33</v>
      </c>
      <c r="E8" s="20">
        <v>197000</v>
      </c>
    </row>
    <row r="9" spans="1:5">
      <c r="A9" s="23"/>
      <c r="B9" s="24"/>
      <c r="C9" s="32">
        <v>44995</v>
      </c>
      <c r="D9" s="33" t="s">
        <v>34</v>
      </c>
      <c r="E9" s="20">
        <v>34000</v>
      </c>
    </row>
    <row r="10" spans="1:5">
      <c r="A10" s="23"/>
      <c r="B10" s="10"/>
      <c r="C10" s="24"/>
      <c r="D10" s="24" t="s">
        <v>15</v>
      </c>
      <c r="E10" s="10"/>
    </row>
    <row r="11" spans="1:5" ht="30">
      <c r="A11" s="23"/>
      <c r="B11" s="24"/>
      <c r="C11" s="34">
        <v>45003</v>
      </c>
      <c r="D11" s="35" t="s">
        <v>35</v>
      </c>
      <c r="E11" s="36">
        <v>380</v>
      </c>
    </row>
    <row r="12" spans="1:5" ht="30">
      <c r="A12" s="23"/>
      <c r="B12" s="24"/>
      <c r="C12" s="34">
        <v>45004</v>
      </c>
      <c r="D12" s="35" t="s">
        <v>36</v>
      </c>
      <c r="E12" s="36">
        <v>42272</v>
      </c>
    </row>
    <row r="13" spans="1:5">
      <c r="A13" s="23"/>
      <c r="B13" s="24"/>
      <c r="C13" s="34">
        <v>45004</v>
      </c>
      <c r="D13" s="35" t="s">
        <v>37</v>
      </c>
      <c r="E13" s="36">
        <v>29000</v>
      </c>
    </row>
    <row r="14" spans="1:5">
      <c r="A14" s="23"/>
      <c r="B14" s="24"/>
      <c r="C14" s="34">
        <v>45004</v>
      </c>
      <c r="D14" s="35" t="s">
        <v>38</v>
      </c>
      <c r="E14" s="36">
        <v>520</v>
      </c>
    </row>
    <row r="15" spans="1:5" ht="30">
      <c r="A15" s="23"/>
      <c r="B15" s="24"/>
      <c r="C15" s="34">
        <v>45004</v>
      </c>
      <c r="D15" s="35" t="s">
        <v>39</v>
      </c>
      <c r="E15" s="36">
        <v>2000</v>
      </c>
    </row>
    <row r="16" spans="1:5">
      <c r="A16" s="23"/>
      <c r="B16" s="24"/>
      <c r="C16" s="37">
        <v>45006</v>
      </c>
      <c r="D16" s="10" t="s">
        <v>40</v>
      </c>
      <c r="E16" s="36">
        <v>1062</v>
      </c>
    </row>
    <row r="17" spans="1:5">
      <c r="A17" s="23"/>
      <c r="B17" s="10"/>
      <c r="C17" s="37">
        <v>45030</v>
      </c>
      <c r="D17" s="35" t="s">
        <v>41</v>
      </c>
      <c r="E17" s="36">
        <v>1810</v>
      </c>
    </row>
    <row r="18" spans="1:5">
      <c r="A18" s="23"/>
      <c r="B18" s="24"/>
      <c r="C18" s="24"/>
      <c r="D18" s="24"/>
      <c r="E18" s="10"/>
    </row>
    <row r="19" spans="1:5">
      <c r="A19" s="23"/>
      <c r="B19" s="24"/>
      <c r="C19" s="24"/>
      <c r="D19" s="24"/>
      <c r="E19" s="10"/>
    </row>
    <row r="20" spans="1:5">
      <c r="A20" s="23"/>
      <c r="B20" s="10"/>
      <c r="C20" s="24"/>
      <c r="D20" s="24" t="s">
        <v>25</v>
      </c>
      <c r="E20" s="10"/>
    </row>
    <row r="21" spans="1:5">
      <c r="A21" s="18"/>
      <c r="B21" s="18"/>
      <c r="C21" s="18"/>
      <c r="D21" s="18"/>
      <c r="E21" s="10"/>
    </row>
    <row r="22" spans="1:5">
      <c r="A22" s="18"/>
      <c r="B22" s="18"/>
      <c r="C22" s="18"/>
      <c r="D22" s="18"/>
      <c r="E22" s="10"/>
    </row>
    <row r="23" spans="1:5">
      <c r="A23" s="18"/>
      <c r="B23" s="18"/>
      <c r="C23" s="18"/>
      <c r="D23" s="18"/>
      <c r="E23" s="10"/>
    </row>
    <row r="24" spans="1:5">
      <c r="A24" s="18"/>
      <c r="B24" s="18"/>
      <c r="C24" s="18"/>
      <c r="D24" s="18"/>
      <c r="E24" s="10"/>
    </row>
    <row r="25" spans="1:5">
      <c r="A25" s="18"/>
      <c r="B25" s="18"/>
      <c r="C25" s="18"/>
      <c r="D25" s="18"/>
      <c r="E25" s="10"/>
    </row>
    <row r="26" spans="1:5">
      <c r="A26" s="18"/>
      <c r="B26" s="18"/>
      <c r="C26" s="18"/>
      <c r="D26" s="18"/>
      <c r="E26" s="10"/>
    </row>
    <row r="27" spans="1:5">
      <c r="A27" s="18"/>
      <c r="B27" s="18"/>
      <c r="C27" s="18"/>
      <c r="D27" s="18"/>
      <c r="E27" s="10"/>
    </row>
    <row r="28" spans="1:5">
      <c r="A28" s="18"/>
      <c r="B28" s="18"/>
      <c r="C28" s="18"/>
      <c r="D28" s="18"/>
      <c r="E28" s="10"/>
    </row>
    <row r="29" spans="1:5">
      <c r="A29" s="18"/>
      <c r="B29" s="18"/>
      <c r="C29" s="18"/>
      <c r="D29" s="18"/>
      <c r="E29" s="10"/>
    </row>
    <row r="30" spans="1:5">
      <c r="A30" s="18"/>
      <c r="B30" s="18"/>
      <c r="C30" s="18"/>
      <c r="D30" s="18"/>
      <c r="E30" s="10"/>
    </row>
    <row r="31" spans="1:5">
      <c r="A31" s="18"/>
      <c r="B31" s="18"/>
      <c r="C31" s="18"/>
      <c r="D31" s="18"/>
    </row>
    <row r="32" spans="1:5">
      <c r="A32" s="18"/>
      <c r="B32" s="18"/>
      <c r="C32" s="18"/>
      <c r="D32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topLeftCell="A5" workbookViewId="0">
      <selection activeCell="H20" sqref="H20"/>
    </sheetView>
  </sheetViews>
  <sheetFormatPr defaultRowHeight="15"/>
  <cols>
    <col min="1" max="1" width="2.7109375" customWidth="1"/>
    <col min="2" max="2" width="10.140625" bestFit="1" customWidth="1"/>
    <col min="3" max="3" width="8.28515625" customWidth="1"/>
    <col min="4" max="4" width="30.85546875" bestFit="1" customWidth="1"/>
    <col min="5" max="5" width="6.42578125" style="1" customWidth="1"/>
    <col min="6" max="6" width="37.140625" bestFit="1" customWidth="1"/>
    <col min="7" max="7" width="5" style="1" customWidth="1"/>
    <col min="8" max="8" width="11.5703125" style="2" bestFit="1" customWidth="1"/>
    <col min="9" max="9" width="13.28515625" style="2" bestFit="1" customWidth="1"/>
    <col min="10" max="10" width="11.5703125" style="2" bestFit="1" customWidth="1"/>
    <col min="11" max="11" width="13.28515625" style="2" bestFit="1" customWidth="1"/>
    <col min="12" max="12" width="16.140625" style="2" customWidth="1"/>
  </cols>
  <sheetData>
    <row r="1" spans="1:14" ht="15.75" thickBot="1"/>
    <row r="2" spans="1:14" ht="15" customHeight="1">
      <c r="A2" s="52" t="s">
        <v>42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/>
    </row>
    <row r="3" spans="1:14" ht="15.75" customHeight="1" thickBot="1">
      <c r="A3" s="55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7"/>
    </row>
    <row r="4" spans="1:14" ht="15.75" thickBot="1"/>
    <row r="5" spans="1:14" ht="15.75" thickBot="1">
      <c r="A5" s="11" t="s">
        <v>1</v>
      </c>
      <c r="B5" s="47" t="s">
        <v>2</v>
      </c>
      <c r="C5" s="12" t="s">
        <v>3</v>
      </c>
      <c r="D5" s="12" t="s">
        <v>4</v>
      </c>
      <c r="E5" s="13" t="s">
        <v>5</v>
      </c>
      <c r="F5" s="12" t="s">
        <v>6</v>
      </c>
      <c r="G5" s="43" t="s">
        <v>7</v>
      </c>
      <c r="H5" s="44" t="s">
        <v>8</v>
      </c>
      <c r="I5" s="44" t="s">
        <v>9</v>
      </c>
      <c r="J5" s="44" t="s">
        <v>10</v>
      </c>
      <c r="K5" s="45" t="s">
        <v>11</v>
      </c>
      <c r="L5" s="46" t="s">
        <v>12</v>
      </c>
      <c r="M5" s="7"/>
      <c r="N5" s="8"/>
    </row>
    <row r="6" spans="1:14">
      <c r="A6" s="14"/>
      <c r="B6" s="14"/>
      <c r="C6" s="14"/>
      <c r="D6" s="14"/>
      <c r="E6" s="15"/>
      <c r="F6" s="14"/>
      <c r="G6" s="15"/>
      <c r="H6" s="38"/>
      <c r="I6" s="38"/>
      <c r="J6" s="38"/>
      <c r="K6" s="38"/>
      <c r="L6" s="38"/>
      <c r="M6" s="9"/>
      <c r="N6" s="9"/>
    </row>
    <row r="7" spans="1:14">
      <c r="A7" s="14"/>
      <c r="B7" s="14"/>
      <c r="C7" s="14"/>
      <c r="D7" s="14"/>
      <c r="E7" s="15"/>
      <c r="F7" s="14"/>
      <c r="G7" s="15"/>
      <c r="H7" s="38"/>
      <c r="I7" s="38"/>
      <c r="J7" s="38"/>
      <c r="K7" s="38"/>
      <c r="L7" s="38"/>
      <c r="M7" s="9"/>
      <c r="N7" s="9"/>
    </row>
    <row r="8" spans="1:14">
      <c r="A8" s="16"/>
      <c r="B8" s="17"/>
      <c r="C8" s="14"/>
      <c r="D8" s="18" t="s">
        <v>45</v>
      </c>
      <c r="E8" s="19"/>
      <c r="F8" s="10" t="s">
        <v>43</v>
      </c>
      <c r="G8" s="48">
        <v>1</v>
      </c>
      <c r="H8" s="20">
        <v>15500</v>
      </c>
      <c r="I8" s="21">
        <v>15500</v>
      </c>
      <c r="J8" s="25" t="s">
        <v>44</v>
      </c>
      <c r="K8" s="21">
        <v>15500</v>
      </c>
      <c r="L8" s="38">
        <v>15500</v>
      </c>
      <c r="M8" s="9"/>
      <c r="N8" s="9"/>
    </row>
    <row r="9" spans="1:14">
      <c r="A9" s="18"/>
      <c r="B9" s="17"/>
      <c r="C9" s="18"/>
      <c r="D9" s="18"/>
      <c r="E9" s="22"/>
      <c r="F9" s="10"/>
      <c r="G9" s="48"/>
      <c r="H9" s="20"/>
      <c r="I9" s="21"/>
      <c r="J9" s="21"/>
      <c r="K9" s="21"/>
      <c r="L9" s="25"/>
    </row>
    <row r="10" spans="1:14">
      <c r="A10" s="23"/>
      <c r="B10" s="24" t="s">
        <v>46</v>
      </c>
      <c r="C10" s="24" t="s">
        <v>53</v>
      </c>
      <c r="D10" s="24" t="s">
        <v>15</v>
      </c>
      <c r="E10" s="22">
        <v>3</v>
      </c>
      <c r="F10" s="18" t="s">
        <v>47</v>
      </c>
      <c r="G10" s="22">
        <v>1</v>
      </c>
      <c r="H10" s="25">
        <v>6017.7</v>
      </c>
      <c r="I10" s="21">
        <f>H10*G10</f>
        <v>6017.7</v>
      </c>
      <c r="J10" s="42">
        <f>I10*13%</f>
        <v>782.30100000000004</v>
      </c>
      <c r="K10" s="40">
        <f>J10+I10</f>
        <v>6800.0010000000002</v>
      </c>
      <c r="L10" s="59">
        <f>K10+K11</f>
        <v>22800.001</v>
      </c>
    </row>
    <row r="11" spans="1:14">
      <c r="A11" s="23"/>
      <c r="B11" s="10"/>
      <c r="C11" s="24"/>
      <c r="D11" s="24"/>
      <c r="E11" s="22"/>
      <c r="F11" s="10" t="s">
        <v>48</v>
      </c>
      <c r="G11" s="48">
        <v>4</v>
      </c>
      <c r="H11" s="20">
        <v>3539.82</v>
      </c>
      <c r="I11" s="21">
        <f t="shared" ref="I11:I24" si="0">H11*G11</f>
        <v>14159.28</v>
      </c>
      <c r="J11" s="42">
        <f t="shared" ref="J11:J23" si="1">I11*13%</f>
        <v>1840.7064000000003</v>
      </c>
      <c r="K11" s="40">
        <v>16000</v>
      </c>
      <c r="L11" s="60"/>
    </row>
    <row r="12" spans="1:14">
      <c r="A12" s="23"/>
      <c r="B12" s="24"/>
      <c r="C12" s="24"/>
      <c r="D12" s="24"/>
      <c r="E12" s="22"/>
      <c r="F12" s="10"/>
      <c r="G12" s="48"/>
      <c r="H12" s="20"/>
      <c r="I12" s="21">
        <f t="shared" si="0"/>
        <v>0</v>
      </c>
      <c r="J12" s="21">
        <f t="shared" si="1"/>
        <v>0</v>
      </c>
      <c r="K12" s="21"/>
      <c r="L12" s="41"/>
    </row>
    <row r="13" spans="1:14">
      <c r="A13" s="23"/>
      <c r="B13" s="24" t="s">
        <v>49</v>
      </c>
      <c r="C13" s="24" t="s">
        <v>54</v>
      </c>
      <c r="D13" s="24" t="s">
        <v>15</v>
      </c>
      <c r="E13" s="22">
        <v>4</v>
      </c>
      <c r="F13" s="10" t="s">
        <v>50</v>
      </c>
      <c r="G13" s="48">
        <v>1</v>
      </c>
      <c r="H13" s="20">
        <v>130000</v>
      </c>
      <c r="I13" s="21">
        <f t="shared" si="0"/>
        <v>130000</v>
      </c>
      <c r="J13" s="21">
        <f t="shared" si="1"/>
        <v>16900</v>
      </c>
      <c r="K13" s="21">
        <f>J13+I13</f>
        <v>146900</v>
      </c>
      <c r="L13" s="25">
        <v>146900</v>
      </c>
    </row>
    <row r="14" spans="1:14">
      <c r="A14" s="23"/>
      <c r="B14" s="24"/>
      <c r="C14" s="24"/>
      <c r="D14" s="24"/>
      <c r="E14" s="22"/>
      <c r="F14" s="10"/>
      <c r="G14" s="48"/>
      <c r="H14" s="20"/>
      <c r="I14" s="21">
        <f t="shared" si="0"/>
        <v>0</v>
      </c>
      <c r="J14" s="21">
        <f t="shared" si="1"/>
        <v>0</v>
      </c>
      <c r="K14" s="21">
        <f t="shared" ref="K14:K30" si="2">J14+I14</f>
        <v>0</v>
      </c>
      <c r="L14" s="25"/>
    </row>
    <row r="15" spans="1:14">
      <c r="A15" s="23"/>
      <c r="B15" s="24" t="s">
        <v>56</v>
      </c>
      <c r="C15" s="24" t="s">
        <v>55</v>
      </c>
      <c r="D15" s="24" t="s">
        <v>15</v>
      </c>
      <c r="E15" s="22">
        <v>7</v>
      </c>
      <c r="F15" s="10" t="s">
        <v>57</v>
      </c>
      <c r="G15" s="48">
        <v>1</v>
      </c>
      <c r="H15" s="20">
        <v>18000</v>
      </c>
      <c r="I15" s="21">
        <f t="shared" si="0"/>
        <v>18000</v>
      </c>
      <c r="J15" s="21">
        <f t="shared" si="1"/>
        <v>2340</v>
      </c>
      <c r="K15" s="21">
        <f t="shared" si="2"/>
        <v>20340</v>
      </c>
      <c r="L15" s="59">
        <f>K15+K16</f>
        <v>30510</v>
      </c>
    </row>
    <row r="16" spans="1:14">
      <c r="A16" s="23"/>
      <c r="B16" s="24"/>
      <c r="C16" s="24"/>
      <c r="D16" s="24"/>
      <c r="E16" s="22"/>
      <c r="F16" s="10" t="s">
        <v>58</v>
      </c>
      <c r="G16" s="48">
        <v>1</v>
      </c>
      <c r="H16" s="20">
        <v>9000</v>
      </c>
      <c r="I16" s="21">
        <f t="shared" si="0"/>
        <v>9000</v>
      </c>
      <c r="J16" s="21">
        <f t="shared" si="1"/>
        <v>1170</v>
      </c>
      <c r="K16" s="21">
        <f t="shared" si="2"/>
        <v>10170</v>
      </c>
      <c r="L16" s="60"/>
    </row>
    <row r="17" spans="1:12">
      <c r="A17" s="23"/>
      <c r="B17" s="24"/>
      <c r="C17" s="24"/>
      <c r="D17" s="24"/>
      <c r="E17" s="22"/>
      <c r="F17" s="18"/>
      <c r="G17" s="22"/>
      <c r="H17" s="25"/>
      <c r="I17" s="21">
        <f t="shared" si="0"/>
        <v>0</v>
      </c>
      <c r="J17" s="21">
        <f t="shared" si="1"/>
        <v>0</v>
      </c>
      <c r="K17" s="21">
        <f t="shared" si="2"/>
        <v>0</v>
      </c>
      <c r="L17" s="25"/>
    </row>
    <row r="18" spans="1:12">
      <c r="A18" s="23"/>
      <c r="B18" s="10" t="s">
        <v>60</v>
      </c>
      <c r="C18" s="24" t="s">
        <v>61</v>
      </c>
      <c r="D18" s="24" t="s">
        <v>15</v>
      </c>
      <c r="E18" s="22">
        <v>11</v>
      </c>
      <c r="F18" s="10" t="s">
        <v>59</v>
      </c>
      <c r="G18" s="48">
        <v>1</v>
      </c>
      <c r="H18" s="20">
        <v>92500</v>
      </c>
      <c r="I18" s="21">
        <f t="shared" si="0"/>
        <v>92500</v>
      </c>
      <c r="J18" s="21">
        <f t="shared" si="1"/>
        <v>12025</v>
      </c>
      <c r="K18" s="21">
        <f t="shared" si="2"/>
        <v>104525</v>
      </c>
      <c r="L18" s="25">
        <f>K18</f>
        <v>104525</v>
      </c>
    </row>
    <row r="19" spans="1:12">
      <c r="A19" s="23"/>
      <c r="B19" s="24"/>
      <c r="C19" s="24"/>
      <c r="D19" s="24"/>
      <c r="E19" s="22"/>
      <c r="F19" s="10"/>
      <c r="G19" s="48"/>
      <c r="H19" s="20"/>
      <c r="I19" s="21">
        <f t="shared" si="0"/>
        <v>0</v>
      </c>
      <c r="J19" s="21">
        <f t="shared" si="1"/>
        <v>0</v>
      </c>
      <c r="K19" s="21">
        <f t="shared" si="2"/>
        <v>0</v>
      </c>
      <c r="L19" s="25"/>
    </row>
    <row r="20" spans="1:12">
      <c r="A20" s="23"/>
      <c r="B20" s="24"/>
      <c r="C20" s="24"/>
      <c r="D20" s="24" t="s">
        <v>62</v>
      </c>
      <c r="E20" s="22"/>
      <c r="F20" s="18"/>
      <c r="G20" s="22"/>
      <c r="H20" s="25"/>
      <c r="I20" s="21">
        <f t="shared" si="0"/>
        <v>0</v>
      </c>
      <c r="J20" s="21">
        <f t="shared" si="1"/>
        <v>0</v>
      </c>
      <c r="K20" s="21">
        <f t="shared" si="2"/>
        <v>0</v>
      </c>
      <c r="L20" s="25"/>
    </row>
    <row r="21" spans="1:12">
      <c r="A21" s="23"/>
      <c r="B21" s="10"/>
      <c r="C21" s="24"/>
      <c r="D21" s="24"/>
      <c r="E21" s="22"/>
      <c r="F21" s="10"/>
      <c r="G21" s="48"/>
      <c r="H21" s="20"/>
      <c r="I21" s="21">
        <f t="shared" si="0"/>
        <v>0</v>
      </c>
      <c r="J21" s="21">
        <f t="shared" si="1"/>
        <v>0</v>
      </c>
      <c r="K21" s="21">
        <f t="shared" si="2"/>
        <v>0</v>
      </c>
      <c r="L21" s="38"/>
    </row>
    <row r="22" spans="1:12">
      <c r="A22" s="18"/>
      <c r="B22" s="18"/>
      <c r="C22" s="18"/>
      <c r="D22" s="18"/>
      <c r="E22" s="22"/>
      <c r="F22" s="10"/>
      <c r="G22" s="48"/>
      <c r="H22" s="20"/>
      <c r="I22" s="21">
        <f t="shared" si="0"/>
        <v>0</v>
      </c>
      <c r="J22" s="21">
        <f t="shared" si="1"/>
        <v>0</v>
      </c>
      <c r="K22" s="21">
        <f t="shared" si="2"/>
        <v>0</v>
      </c>
      <c r="L22" s="25"/>
    </row>
    <row r="23" spans="1:12">
      <c r="A23" s="18"/>
      <c r="B23" s="18"/>
      <c r="C23" s="18"/>
      <c r="D23" s="18"/>
      <c r="E23" s="22"/>
      <c r="F23" s="18"/>
      <c r="G23" s="22"/>
      <c r="H23" s="25"/>
      <c r="I23" s="21">
        <f t="shared" si="0"/>
        <v>0</v>
      </c>
      <c r="J23" s="21">
        <f t="shared" si="1"/>
        <v>0</v>
      </c>
      <c r="K23" s="21">
        <f t="shared" si="2"/>
        <v>0</v>
      </c>
      <c r="L23" s="25"/>
    </row>
    <row r="24" spans="1:12" ht="15" customHeight="1">
      <c r="A24" s="18"/>
      <c r="B24" s="18"/>
      <c r="C24" s="18"/>
      <c r="D24" s="18"/>
      <c r="E24" s="22"/>
      <c r="F24" s="18"/>
      <c r="G24" s="22"/>
      <c r="H24" s="25"/>
      <c r="I24" s="21">
        <f t="shared" si="0"/>
        <v>0</v>
      </c>
      <c r="J24" s="21"/>
      <c r="K24" s="21">
        <f t="shared" si="2"/>
        <v>0</v>
      </c>
      <c r="L24" s="39"/>
    </row>
    <row r="25" spans="1:12" ht="15" customHeight="1">
      <c r="A25" s="18"/>
      <c r="B25" s="18"/>
      <c r="C25" s="18"/>
      <c r="D25" s="18"/>
      <c r="E25" s="22"/>
      <c r="F25" s="18"/>
      <c r="G25" s="22"/>
      <c r="H25" s="25"/>
      <c r="I25" s="21"/>
      <c r="J25" s="21"/>
      <c r="K25" s="21">
        <f t="shared" si="2"/>
        <v>0</v>
      </c>
      <c r="L25" s="39"/>
    </row>
    <row r="26" spans="1:12" ht="15" customHeight="1">
      <c r="A26" s="18"/>
      <c r="B26" s="18"/>
      <c r="C26" s="18"/>
      <c r="D26" s="18"/>
      <c r="E26" s="22"/>
      <c r="F26" s="18"/>
      <c r="G26" s="22"/>
      <c r="H26" s="25"/>
      <c r="I26" s="21"/>
      <c r="J26" s="21"/>
      <c r="K26" s="21">
        <f t="shared" si="2"/>
        <v>0</v>
      </c>
      <c r="L26" s="39"/>
    </row>
    <row r="27" spans="1:12" ht="15" customHeight="1">
      <c r="A27" s="18"/>
      <c r="B27" s="18"/>
      <c r="C27" s="18"/>
      <c r="D27" s="18"/>
      <c r="E27" s="22"/>
      <c r="F27" s="18"/>
      <c r="G27" s="22"/>
      <c r="H27" s="25"/>
      <c r="I27" s="21"/>
      <c r="J27" s="21"/>
      <c r="K27" s="21">
        <f t="shared" si="2"/>
        <v>0</v>
      </c>
      <c r="L27" s="39"/>
    </row>
    <row r="28" spans="1:12" ht="15" customHeight="1">
      <c r="A28" s="18"/>
      <c r="B28" s="18"/>
      <c r="C28" s="18"/>
      <c r="D28" s="18"/>
      <c r="E28" s="22"/>
      <c r="F28" s="18"/>
      <c r="G28" s="22"/>
      <c r="H28" s="25"/>
      <c r="I28" s="21"/>
      <c r="J28" s="21"/>
      <c r="K28" s="21">
        <f t="shared" si="2"/>
        <v>0</v>
      </c>
      <c r="L28" s="39"/>
    </row>
    <row r="29" spans="1:12" ht="15" customHeight="1">
      <c r="A29" s="18"/>
      <c r="B29" s="18"/>
      <c r="C29" s="18"/>
      <c r="D29" s="18"/>
      <c r="E29" s="22"/>
      <c r="F29" s="18"/>
      <c r="G29" s="22"/>
      <c r="H29" s="25"/>
      <c r="I29" s="21"/>
      <c r="J29" s="21"/>
      <c r="K29" s="21">
        <f t="shared" si="2"/>
        <v>0</v>
      </c>
      <c r="L29" s="39"/>
    </row>
    <row r="30" spans="1:12" ht="15" customHeight="1">
      <c r="A30" s="18"/>
      <c r="B30" s="18"/>
      <c r="C30" s="18"/>
      <c r="D30" s="18"/>
      <c r="E30" s="22"/>
      <c r="F30" s="18"/>
      <c r="G30" s="22"/>
      <c r="H30" s="25"/>
      <c r="I30" s="21"/>
      <c r="J30" s="25"/>
      <c r="K30" s="21">
        <f t="shared" si="2"/>
        <v>0</v>
      </c>
      <c r="L30" s="39"/>
    </row>
    <row r="31" spans="1:12" ht="15.75" customHeight="1" thickBot="1">
      <c r="A31" s="18"/>
      <c r="B31" s="18"/>
      <c r="C31" s="18"/>
      <c r="D31" s="18"/>
      <c r="E31" s="22"/>
      <c r="F31" s="18"/>
      <c r="G31" s="22"/>
      <c r="H31" s="25"/>
      <c r="I31" s="25"/>
      <c r="J31" s="26"/>
      <c r="K31" s="25"/>
      <c r="L31" s="39">
        <f>SUM(L8:L30)</f>
        <v>320235.00099999999</v>
      </c>
    </row>
    <row r="32" spans="1:12" ht="15.75" thickBot="1">
      <c r="A32" s="18"/>
      <c r="B32" s="18"/>
      <c r="C32" s="18"/>
      <c r="D32" s="18"/>
      <c r="E32" s="22"/>
      <c r="F32" s="18"/>
      <c r="G32" s="22"/>
      <c r="H32" s="25"/>
      <c r="I32" s="27"/>
      <c r="J32" s="28"/>
      <c r="K32" s="29"/>
      <c r="L32" s="25"/>
    </row>
    <row r="33" spans="1:12">
      <c r="A33" s="18"/>
      <c r="B33" s="18"/>
      <c r="C33" s="18"/>
      <c r="D33" s="18"/>
      <c r="E33" s="22"/>
      <c r="F33" s="18"/>
      <c r="G33" s="22"/>
      <c r="H33" s="25"/>
      <c r="I33" s="25"/>
      <c r="J33" s="30"/>
      <c r="K33" s="25"/>
      <c r="L33" s="25"/>
    </row>
  </sheetData>
  <mergeCells count="3">
    <mergeCell ref="A2:N3"/>
    <mergeCell ref="L10:L11"/>
    <mergeCell ref="L15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79-80</vt:lpstr>
      <vt:lpstr>Sheet3</vt:lpstr>
      <vt:lpstr>80-81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2024-01-09T11:32:45Z</dcterms:modified>
</cp:coreProperties>
</file>