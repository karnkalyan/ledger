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LES 79-80" sheetId="1" r:id="rId1"/>
    <sheet name="80-81" sheetId="2" r:id="rId2"/>
    <sheet name="PAYMENT " sheetId="3" r:id="rId3"/>
  </sheets>
  <calcPr calcId="124519"/>
</workbook>
</file>

<file path=xl/calcChain.xml><?xml version="1.0" encoding="utf-8"?>
<calcChain xmlns="http://schemas.openxmlformats.org/spreadsheetml/2006/main">
  <c r="E32" i="3"/>
  <c r="L68" i="2"/>
  <c r="J18" l="1"/>
  <c r="I61"/>
  <c r="I62"/>
  <c r="I63"/>
  <c r="L59" l="1"/>
  <c r="J58"/>
  <c r="J59"/>
  <c r="K59" s="1"/>
  <c r="J60"/>
  <c r="J61"/>
  <c r="K61" s="1"/>
  <c r="J62"/>
  <c r="I58"/>
  <c r="I59"/>
  <c r="I60"/>
  <c r="L56"/>
  <c r="K57"/>
  <c r="K58"/>
  <c r="K60"/>
  <c r="K62"/>
  <c r="L53"/>
  <c r="L51"/>
  <c r="K48"/>
  <c r="K50"/>
  <c r="K51"/>
  <c r="K52"/>
  <c r="K55"/>
  <c r="J48"/>
  <c r="J50"/>
  <c r="J51"/>
  <c r="J52"/>
  <c r="J55"/>
  <c r="I50"/>
  <c r="I51"/>
  <c r="I52"/>
  <c r="I53"/>
  <c r="J53" s="1"/>
  <c r="K53" s="1"/>
  <c r="I54"/>
  <c r="J54" s="1"/>
  <c r="K54" s="1"/>
  <c r="I55"/>
  <c r="I56"/>
  <c r="J56" s="1"/>
  <c r="K56" s="1"/>
  <c r="I57"/>
  <c r="J57" s="1"/>
  <c r="L46"/>
  <c r="K45"/>
  <c r="K46"/>
  <c r="K47"/>
  <c r="J45"/>
  <c r="J46"/>
  <c r="J47"/>
  <c r="K42"/>
  <c r="K43"/>
  <c r="K44"/>
  <c r="K11"/>
  <c r="J11"/>
  <c r="I11"/>
  <c r="L40"/>
  <c r="L37"/>
  <c r="L38"/>
  <c r="L35"/>
  <c r="L36"/>
  <c r="L34"/>
  <c r="K33"/>
  <c r="K34"/>
  <c r="K35"/>
  <c r="K37"/>
  <c r="K39"/>
  <c r="J33"/>
  <c r="J34"/>
  <c r="J35"/>
  <c r="J37"/>
  <c r="J39"/>
  <c r="J40"/>
  <c r="K40" s="1"/>
  <c r="J42"/>
  <c r="J43"/>
  <c r="L30"/>
  <c r="K31"/>
  <c r="K32"/>
  <c r="K30"/>
  <c r="J31"/>
  <c r="J32"/>
  <c r="J30"/>
  <c r="K18" s="1"/>
  <c r="I23"/>
  <c r="I24"/>
  <c r="I25"/>
  <c r="I26"/>
  <c r="I27"/>
  <c r="I28"/>
  <c r="I29"/>
  <c r="I30"/>
  <c r="I31"/>
  <c r="I32"/>
  <c r="I33"/>
  <c r="I34"/>
  <c r="I35"/>
  <c r="I36"/>
  <c r="J36" s="1"/>
  <c r="K36" s="1"/>
  <c r="I37"/>
  <c r="I38"/>
  <c r="J38" s="1"/>
  <c r="K38" s="1"/>
  <c r="I39"/>
  <c r="I40"/>
  <c r="I41"/>
  <c r="J41" s="1"/>
  <c r="K41" s="1"/>
  <c r="I42"/>
  <c r="I43"/>
  <c r="I44"/>
  <c r="J44" s="1"/>
  <c r="I45"/>
  <c r="I46"/>
  <c r="I47"/>
  <c r="I48"/>
  <c r="I49"/>
  <c r="I22"/>
  <c r="I21"/>
  <c r="K17"/>
  <c r="J17"/>
  <c r="K16"/>
  <c r="J16"/>
  <c r="K46" i="1"/>
  <c r="I46" s="1"/>
  <c r="H41"/>
  <c r="H43"/>
  <c r="I43" s="1"/>
  <c r="J43" s="1"/>
  <c r="H40"/>
  <c r="I40" s="1"/>
  <c r="J40" s="1"/>
  <c r="H39"/>
  <c r="I39" s="1"/>
  <c r="J39" s="1"/>
  <c r="H33"/>
  <c r="H35"/>
  <c r="H36"/>
  <c r="I35"/>
  <c r="J35" s="1"/>
  <c r="I36"/>
  <c r="J36" s="1"/>
  <c r="I44"/>
  <c r="H32"/>
  <c r="I32" s="1"/>
  <c r="J32" s="1"/>
  <c r="I28"/>
  <c r="J28" s="1"/>
  <c r="J23"/>
  <c r="J24"/>
  <c r="H21"/>
  <c r="H22"/>
  <c r="J22" s="1"/>
  <c r="H23"/>
  <c r="H24"/>
  <c r="H25"/>
  <c r="J25" s="1"/>
  <c r="H26"/>
  <c r="J26" s="1"/>
  <c r="H27"/>
  <c r="I27" s="1"/>
  <c r="H28"/>
  <c r="H29"/>
  <c r="I29" s="1"/>
  <c r="H30"/>
  <c r="I30" s="1"/>
  <c r="J30" s="1"/>
  <c r="H31"/>
  <c r="I31" s="1"/>
  <c r="J31" s="1"/>
  <c r="J17"/>
  <c r="I18"/>
  <c r="J18" s="1"/>
  <c r="I17"/>
  <c r="H15"/>
  <c r="J15" s="1"/>
  <c r="H16"/>
  <c r="J16" s="1"/>
  <c r="H17"/>
  <c r="H18"/>
  <c r="H19"/>
  <c r="I19" s="1"/>
  <c r="J19" s="1"/>
  <c r="H20"/>
  <c r="I20" s="1"/>
  <c r="J20" s="1"/>
  <c r="H12"/>
  <c r="I12" s="1"/>
  <c r="J12" s="1"/>
  <c r="H13"/>
  <c r="I13" s="1"/>
  <c r="J13" s="1"/>
  <c r="H14"/>
  <c r="I14" s="1"/>
  <c r="J14" s="1"/>
  <c r="H11"/>
  <c r="I11" s="1"/>
  <c r="J11" s="1"/>
  <c r="J9"/>
  <c r="J8"/>
  <c r="J29" l="1"/>
  <c r="J27"/>
</calcChain>
</file>

<file path=xl/sharedStrings.xml><?xml version="1.0" encoding="utf-8"?>
<sst xmlns="http://schemas.openxmlformats.org/spreadsheetml/2006/main" count="281" uniqueCount="165">
  <si>
    <t>SALE 2079-80</t>
  </si>
  <si>
    <t xml:space="preserve">S NO </t>
  </si>
  <si>
    <t xml:space="preserve">MITTI </t>
  </si>
  <si>
    <t>DATE</t>
  </si>
  <si>
    <t>CLIENT NAME</t>
  </si>
  <si>
    <t>PRODUCT NAME</t>
  </si>
  <si>
    <t>QTY</t>
  </si>
  <si>
    <t>RATE</t>
  </si>
  <si>
    <t>TOTAL</t>
  </si>
  <si>
    <t>VAT</t>
  </si>
  <si>
    <t xml:space="preserve">TOTAL </t>
  </si>
  <si>
    <t xml:space="preserve">BILL </t>
  </si>
  <si>
    <t>PAYMENT</t>
  </si>
  <si>
    <t>AMOUNT</t>
  </si>
  <si>
    <t>CHQ</t>
  </si>
  <si>
    <t>CASH</t>
  </si>
  <si>
    <t xml:space="preserve">ONLINE </t>
  </si>
  <si>
    <t>CREDIT</t>
  </si>
  <si>
    <t>19.12.79</t>
  </si>
  <si>
    <t>DHULIKHEL HOSPITAL</t>
  </si>
  <si>
    <t>VIDEO FIBER CONVERTER 8 CH</t>
  </si>
  <si>
    <t xml:space="preserve">VIDEO SWITCHER L2-PLUS </t>
  </si>
  <si>
    <t>BMD MICRO SDI TO HDMI CONVERTER</t>
  </si>
  <si>
    <t>BMD HDMI TO SDI MICRO CONVERTER</t>
  </si>
  <si>
    <t>PTZ CONTROLLER KBC 10</t>
  </si>
  <si>
    <t>PTZ CAMERA POE 20X</t>
  </si>
  <si>
    <t xml:space="preserve">DHULIKHEL HOSPITAL </t>
  </si>
  <si>
    <t xml:space="preserve">SYSTEM DESIGN AND INSTALLATION </t>
  </si>
  <si>
    <t>X VIVE IN EAR MONITOR WIRELESS SYSTEM</t>
  </si>
  <si>
    <t xml:space="preserve">BOYA -WM6 </t>
  </si>
  <si>
    <t>CABLE AND CONNECTORS</t>
  </si>
  <si>
    <t>AUDIO FIBER CONVERTER (XLR 4CH,2 IN 2 OUT</t>
  </si>
  <si>
    <t>29.12.79</t>
  </si>
  <si>
    <t>BY-M8C (LAVATIOR MIC)</t>
  </si>
  <si>
    <t>TV TODAY NETWORK PVT LTD</t>
  </si>
  <si>
    <t>16.01.80</t>
  </si>
  <si>
    <r>
      <t>RIDDHI SIDDHI MULTIPUR</t>
    </r>
    <r>
      <rPr>
        <sz val="9"/>
        <color theme="1"/>
        <rFont val="Calibri"/>
        <family val="2"/>
        <scheme val="minor"/>
      </rPr>
      <t xml:space="preserve">POSE </t>
    </r>
  </si>
  <si>
    <t xml:space="preserve">SC542 HDMI INPUT CARD </t>
  </si>
  <si>
    <t>29.02.80</t>
  </si>
  <si>
    <t>RIDDHI SIDDHI MULTIPURPOSE</t>
  </si>
  <si>
    <t>HDMI BONDING VIDEO CONVERTER</t>
  </si>
  <si>
    <t>17.03.80</t>
  </si>
  <si>
    <t>KATHMANDU UNIVERSITY</t>
  </si>
  <si>
    <t>43"LED ANDROID TV</t>
  </si>
  <si>
    <t>MOVING TV WALL MOUNT</t>
  </si>
  <si>
    <t>FEWA TV LTD</t>
  </si>
  <si>
    <t>SUPPORT CHARGE</t>
  </si>
  <si>
    <t>SALE 2080-81</t>
  </si>
  <si>
    <t xml:space="preserve">RIDDHI SIDDHI MULTIPURPOSE </t>
  </si>
  <si>
    <t>COMP.PVT LTD</t>
  </si>
  <si>
    <t>01.04.80</t>
  </si>
  <si>
    <t xml:space="preserve">BILL NO </t>
  </si>
  <si>
    <t>BAGMATI TV NETWORK</t>
  </si>
  <si>
    <t xml:space="preserve">HDMI VIDEO BONDING CONVERTER </t>
  </si>
  <si>
    <t>27.05.80</t>
  </si>
  <si>
    <t xml:space="preserve">PRIME MINISTER OFFICE </t>
  </si>
  <si>
    <t>CONTROLLER kt</t>
  </si>
  <si>
    <t>no</t>
  </si>
  <si>
    <t>PAYMENT RECEIVED</t>
  </si>
  <si>
    <t>S NO</t>
  </si>
  <si>
    <t xml:space="preserve">DATE </t>
  </si>
  <si>
    <t xml:space="preserve">PARTY NAME </t>
  </si>
  <si>
    <t>REMARKS</t>
  </si>
  <si>
    <t>CASH/BANK/ONLINE</t>
  </si>
  <si>
    <t>NO</t>
  </si>
  <si>
    <t>YOLO LIV</t>
  </si>
  <si>
    <t>100000 ONLINE AND 50000 CASH DEPOSITED</t>
  </si>
  <si>
    <t>HDMI SPLITTER DTECH</t>
  </si>
  <si>
    <t>SDI TO HDMI CONVERTER DTECH</t>
  </si>
  <si>
    <t>P2 BONDING DEVICE</t>
  </si>
  <si>
    <t>BONDING DEVICE P2</t>
  </si>
  <si>
    <t>BALANCE 25000 IN SIMUL</t>
  </si>
  <si>
    <t>(DSNG 4CH - SN 231210093) P2</t>
  </si>
  <si>
    <t>50000 paid only 119500 balance</t>
  </si>
  <si>
    <t>14.09.23</t>
  </si>
  <si>
    <t>STEREO CABLE 3.5 MM MALE TO 3.5MM FEMALE 3METER</t>
  </si>
  <si>
    <t xml:space="preserve"> BOYA VM01 R</t>
  </si>
  <si>
    <t>06.08.23</t>
  </si>
  <si>
    <t xml:space="preserve">aashi traders </t>
  </si>
  <si>
    <t xml:space="preserve">tv today </t>
  </si>
  <si>
    <t>SALES RETURN</t>
  </si>
  <si>
    <t>28.05.80</t>
  </si>
  <si>
    <t>21.04.80</t>
  </si>
  <si>
    <t>18.06.80</t>
  </si>
  <si>
    <t>05.10.23</t>
  </si>
  <si>
    <t>BILL</t>
  </si>
  <si>
    <t>kayhmandu university</t>
  </si>
  <si>
    <t>43"led Smart TV</t>
  </si>
  <si>
    <t>Wall Mount</t>
  </si>
  <si>
    <t>kstar 1 KVA UPS hp 910cs</t>
  </si>
  <si>
    <t>19.06.80</t>
  </si>
  <si>
    <t>06.10.23</t>
  </si>
  <si>
    <t>kathmandu university</t>
  </si>
  <si>
    <t>Kstar 1KVA Ups HP 910cs</t>
  </si>
  <si>
    <t>Kstar 1 KVA HP 910  cs</t>
  </si>
  <si>
    <t>21.06.80</t>
  </si>
  <si>
    <t>08.10.23</t>
  </si>
  <si>
    <t>28.06.80</t>
  </si>
  <si>
    <t>16.10.23</t>
  </si>
  <si>
    <t>dhulikhel hospital</t>
  </si>
  <si>
    <t xml:space="preserve">Hdmi 4k 50m </t>
  </si>
  <si>
    <t>hdmi4k 30m</t>
  </si>
  <si>
    <t>18.08.80</t>
  </si>
  <si>
    <t>04.12.23</t>
  </si>
  <si>
    <t>Signage schedule software on premises cloud</t>
  </si>
  <si>
    <t>server Dell T40</t>
  </si>
  <si>
    <t>10.09.80</t>
  </si>
  <si>
    <t>26.12.23</t>
  </si>
  <si>
    <t xml:space="preserve">yolo liv </t>
  </si>
  <si>
    <t>DIM MOVIES</t>
  </si>
  <si>
    <t>server deployment of digital signage and insatallation of smart tv tonline ups on block 6,7,028B and 12</t>
  </si>
  <si>
    <t xml:space="preserve">media player </t>
  </si>
  <si>
    <t>display ucence player</t>
  </si>
  <si>
    <t>03.07.80</t>
  </si>
  <si>
    <t>20.10.23</t>
  </si>
  <si>
    <t xml:space="preserve">black swan nepal </t>
  </si>
  <si>
    <t>1RU 3G-SDI 16 Channel multiviewer &amp; Switcher</t>
  </si>
  <si>
    <t>17.07.23</t>
  </si>
  <si>
    <t>13.09.23</t>
  </si>
  <si>
    <t>18.10.23</t>
  </si>
  <si>
    <t>10.11.23</t>
  </si>
  <si>
    <t>bagmati tv</t>
  </si>
  <si>
    <t>p</t>
  </si>
  <si>
    <t>partial/full</t>
  </si>
  <si>
    <t>o</t>
  </si>
  <si>
    <t>01.07.80</t>
  </si>
  <si>
    <t>24.07.80</t>
  </si>
  <si>
    <t>22.06.23</t>
  </si>
  <si>
    <t>riddhi siddhi multipurpose</t>
  </si>
  <si>
    <t>07.03.80</t>
  </si>
  <si>
    <t>15.09.23</t>
  </si>
  <si>
    <t>29.05.80</t>
  </si>
  <si>
    <t>25.09.23</t>
  </si>
  <si>
    <t>26.09.23</t>
  </si>
  <si>
    <t>08.06.80</t>
  </si>
  <si>
    <t>09.06.80</t>
  </si>
  <si>
    <t>c</t>
  </si>
  <si>
    <t>C</t>
  </si>
  <si>
    <t>f</t>
  </si>
  <si>
    <t>F</t>
  </si>
  <si>
    <t>13.07.23</t>
  </si>
  <si>
    <t>KU</t>
  </si>
  <si>
    <t>28.03.80</t>
  </si>
  <si>
    <t>19.10.23</t>
  </si>
  <si>
    <t>cq</t>
  </si>
  <si>
    <t>02.07.80</t>
  </si>
  <si>
    <t>28.06.23</t>
  </si>
  <si>
    <t>13.03.80</t>
  </si>
  <si>
    <t>nepal news</t>
  </si>
  <si>
    <t>black swan (santosh singh)</t>
  </si>
  <si>
    <t>02.01.24</t>
  </si>
  <si>
    <t>17.09.80</t>
  </si>
  <si>
    <t>dhulukhel hospital</t>
  </si>
  <si>
    <t>tds deduct 645</t>
  </si>
  <si>
    <t>primeminister office</t>
  </si>
  <si>
    <t>dim movies</t>
  </si>
  <si>
    <t>aashi traders</t>
  </si>
  <si>
    <t xml:space="preserve">tds deduct </t>
  </si>
  <si>
    <t>tds deduct</t>
  </si>
  <si>
    <t>04.01.24</t>
  </si>
  <si>
    <t>19.09.80</t>
  </si>
  <si>
    <t xml:space="preserve">180000 COST AND 20000 COMMISSION OF NEPAL NEWS BANK </t>
  </si>
  <si>
    <t xml:space="preserve">NEPAL NEWS BANK </t>
  </si>
  <si>
    <t>24976 PAYMENT TDS DEDUCT</t>
  </si>
  <si>
    <t>3390 FULL PAYMENT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</si>
</sst>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0" fontId="6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4" borderId="10" xfId="0" applyFill="1" applyBorder="1"/>
    <xf numFmtId="0" fontId="0" fillId="4" borderId="0" xfId="0" applyFill="1"/>
    <xf numFmtId="164" fontId="0" fillId="0" borderId="0" xfId="1" applyNumberFormat="1" applyFont="1" applyAlignment="1">
      <alignment vertical="center"/>
    </xf>
    <xf numFmtId="164" fontId="0" fillId="0" borderId="0" xfId="1" applyNumberFormat="1" applyFont="1"/>
    <xf numFmtId="164" fontId="3" fillId="3" borderId="10" xfId="1" applyNumberFormat="1" applyFont="1" applyFill="1" applyBorder="1" applyAlignment="1">
      <alignment horizontal="center" vertical="center"/>
    </xf>
    <xf numFmtId="164" fontId="3" fillId="3" borderId="11" xfId="1" applyNumberFormat="1" applyFont="1" applyFill="1" applyBorder="1" applyAlignment="1">
      <alignment horizontal="center"/>
    </xf>
    <xf numFmtId="164" fontId="3" fillId="3" borderId="10" xfId="1" applyNumberFormat="1" applyFont="1" applyFill="1" applyBorder="1" applyAlignment="1">
      <alignment vertical="center"/>
    </xf>
    <xf numFmtId="164" fontId="5" fillId="3" borderId="10" xfId="1" applyNumberFormat="1" applyFont="1" applyFill="1" applyBorder="1"/>
    <xf numFmtId="164" fontId="0" fillId="0" borderId="10" xfId="1" applyNumberFormat="1" applyFont="1" applyBorder="1"/>
    <xf numFmtId="164" fontId="0" fillId="4" borderId="10" xfId="1" applyNumberFormat="1" applyFont="1" applyFill="1" applyBorder="1"/>
    <xf numFmtId="164" fontId="0" fillId="0" borderId="9" xfId="1" applyNumberFormat="1" applyFont="1" applyBorder="1" applyAlignment="1"/>
    <xf numFmtId="0" fontId="2" fillId="4" borderId="10" xfId="0" applyFont="1" applyFill="1" applyBorder="1"/>
    <xf numFmtId="164" fontId="0" fillId="0" borderId="14" xfId="1" applyNumberFormat="1" applyFont="1" applyBorder="1"/>
    <xf numFmtId="164" fontId="0" fillId="0" borderId="16" xfId="1" applyNumberFormat="1" applyFont="1" applyBorder="1"/>
    <xf numFmtId="164" fontId="0" fillId="4" borderId="16" xfId="1" applyNumberFormat="1" applyFont="1" applyFill="1" applyBorder="1"/>
    <xf numFmtId="164" fontId="0" fillId="0" borderId="11" xfId="1" applyNumberFormat="1" applyFont="1" applyBorder="1"/>
    <xf numFmtId="164" fontId="0" fillId="0" borderId="18" xfId="1" applyNumberFormat="1" applyFont="1" applyBorder="1" applyAlignment="1"/>
    <xf numFmtId="164" fontId="0" fillId="0" borderId="17" xfId="1" applyNumberFormat="1" applyFont="1" applyBorder="1"/>
    <xf numFmtId="164" fontId="0" fillId="0" borderId="9" xfId="1" applyNumberFormat="1" applyFont="1" applyBorder="1"/>
    <xf numFmtId="0" fontId="7" fillId="0" borderId="10" xfId="0" applyFont="1" applyBorder="1"/>
    <xf numFmtId="164" fontId="0" fillId="0" borderId="0" xfId="1" applyNumberFormat="1" applyFont="1" applyBorder="1"/>
    <xf numFmtId="0" fontId="0" fillId="0" borderId="13" xfId="0" applyBorder="1"/>
    <xf numFmtId="164" fontId="3" fillId="0" borderId="17" xfId="1" applyNumberFormat="1" applyFont="1" applyBorder="1"/>
    <xf numFmtId="164" fontId="0" fillId="0" borderId="12" xfId="1" applyNumberFormat="1" applyFont="1" applyBorder="1"/>
    <xf numFmtId="0" fontId="0" fillId="5" borderId="10" xfId="0" applyFill="1" applyBorder="1"/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4" xfId="0" applyBorder="1"/>
    <xf numFmtId="0" fontId="0" fillId="0" borderId="27" xfId="0" applyBorder="1"/>
    <xf numFmtId="0" fontId="8" fillId="0" borderId="26" xfId="0" applyFont="1" applyBorder="1"/>
    <xf numFmtId="0" fontId="2" fillId="5" borderId="10" xfId="0" applyFont="1" applyFill="1" applyBorder="1"/>
    <xf numFmtId="0" fontId="0" fillId="0" borderId="10" xfId="0" applyBorder="1" applyAlignment="1"/>
    <xf numFmtId="0" fontId="0" fillId="0" borderId="11" xfId="0" applyBorder="1"/>
    <xf numFmtId="0" fontId="0" fillId="4" borderId="11" xfId="0" applyFill="1" applyBorder="1"/>
    <xf numFmtId="164" fontId="0" fillId="5" borderId="10" xfId="1" applyNumberFormat="1" applyFont="1" applyFill="1" applyBorder="1"/>
    <xf numFmtId="164" fontId="0" fillId="5" borderId="9" xfId="1" applyNumberFormat="1" applyFont="1" applyFill="1" applyBorder="1" applyAlignment="1"/>
    <xf numFmtId="0" fontId="0" fillId="5" borderId="0" xfId="0" applyFill="1"/>
    <xf numFmtId="165" fontId="11" fillId="0" borderId="0" xfId="1" applyNumberFormat="1" applyFont="1" applyAlignment="1">
      <alignment vertical="center"/>
    </xf>
    <xf numFmtId="43" fontId="11" fillId="0" borderId="0" xfId="1" applyFont="1" applyAlignment="1">
      <alignment vertical="center"/>
    </xf>
    <xf numFmtId="164" fontId="11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vertical="center"/>
    </xf>
    <xf numFmtId="164" fontId="11" fillId="0" borderId="0" xfId="1" applyNumberFormat="1" applyFont="1"/>
    <xf numFmtId="165" fontId="6" fillId="3" borderId="10" xfId="1" applyNumberFormat="1" applyFont="1" applyFill="1" applyBorder="1" applyAlignment="1">
      <alignment horizontal="center" vertical="center"/>
    </xf>
    <xf numFmtId="43" fontId="6" fillId="3" borderId="10" xfId="1" applyFont="1" applyFill="1" applyBorder="1" applyAlignment="1">
      <alignment horizontal="center" vertical="center"/>
    </xf>
    <xf numFmtId="164" fontId="6" fillId="3" borderId="10" xfId="1" applyNumberFormat="1" applyFont="1" applyFill="1" applyBorder="1" applyAlignment="1">
      <alignment horizontal="center" vertical="center"/>
    </xf>
    <xf numFmtId="164" fontId="6" fillId="3" borderId="11" xfId="1" applyNumberFormat="1" applyFont="1" applyFill="1" applyBorder="1" applyAlignment="1">
      <alignment horizontal="center"/>
    </xf>
    <xf numFmtId="165" fontId="6" fillId="3" borderId="10" xfId="1" applyNumberFormat="1" applyFont="1" applyFill="1" applyBorder="1" applyAlignment="1">
      <alignment vertical="center"/>
    </xf>
    <xf numFmtId="43" fontId="6" fillId="3" borderId="10" xfId="1" applyFont="1" applyFill="1" applyBorder="1" applyAlignment="1">
      <alignment vertical="center"/>
    </xf>
    <xf numFmtId="164" fontId="6" fillId="3" borderId="10" xfId="1" applyNumberFormat="1" applyFont="1" applyFill="1" applyBorder="1" applyAlignment="1">
      <alignment vertical="center"/>
    </xf>
    <xf numFmtId="164" fontId="6" fillId="3" borderId="10" xfId="1" applyNumberFormat="1" applyFont="1" applyFill="1" applyBorder="1"/>
    <xf numFmtId="165" fontId="11" fillId="0" borderId="10" xfId="1" applyNumberFormat="1" applyFont="1" applyBorder="1"/>
    <xf numFmtId="43" fontId="11" fillId="0" borderId="10" xfId="1" applyFont="1" applyBorder="1"/>
    <xf numFmtId="164" fontId="11" fillId="0" borderId="10" xfId="1" applyNumberFormat="1" applyFont="1" applyBorder="1" applyAlignment="1">
      <alignment horizontal="center"/>
    </xf>
    <xf numFmtId="164" fontId="11" fillId="0" borderId="10" xfId="1" applyNumberFormat="1" applyFont="1" applyBorder="1"/>
    <xf numFmtId="164" fontId="11" fillId="0" borderId="10" xfId="1" applyNumberFormat="1" applyFont="1" applyBorder="1" applyAlignment="1"/>
    <xf numFmtId="164" fontId="11" fillId="0" borderId="10" xfId="1" applyNumberFormat="1" applyFont="1" applyBorder="1" applyAlignment="1">
      <alignment horizontal="center"/>
    </xf>
    <xf numFmtId="165" fontId="11" fillId="4" borderId="10" xfId="1" applyNumberFormat="1" applyFont="1" applyFill="1" applyBorder="1"/>
    <xf numFmtId="43" fontId="11" fillId="4" borderId="10" xfId="1" applyFont="1" applyFill="1" applyBorder="1"/>
    <xf numFmtId="164" fontId="11" fillId="4" borderId="10" xfId="1" applyNumberFormat="1" applyFont="1" applyFill="1" applyBorder="1" applyAlignment="1">
      <alignment horizontal="center"/>
    </xf>
    <xf numFmtId="164" fontId="11" fillId="0" borderId="9" xfId="1" applyNumberFormat="1" applyFont="1" applyBorder="1" applyAlignment="1"/>
    <xf numFmtId="164" fontId="6" fillId="0" borderId="17" xfId="1" applyNumberFormat="1" applyFont="1" applyBorder="1"/>
    <xf numFmtId="165" fontId="11" fillId="0" borderId="0" xfId="1" applyNumberFormat="1" applyFont="1"/>
    <xf numFmtId="43" fontId="11" fillId="0" borderId="0" xfId="1" applyFont="1"/>
    <xf numFmtId="164" fontId="11" fillId="0" borderId="0" xfId="1" applyNumberFormat="1" applyFont="1" applyAlignment="1">
      <alignment horizontal="center"/>
    </xf>
    <xf numFmtId="0" fontId="9" fillId="3" borderId="9" xfId="0" applyFont="1" applyFill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2" fillId="0" borderId="10" xfId="0" applyFont="1" applyBorder="1"/>
    <xf numFmtId="165" fontId="12" fillId="0" borderId="10" xfId="1" applyNumberFormat="1" applyFont="1" applyBorder="1"/>
    <xf numFmtId="43" fontId="12" fillId="0" borderId="10" xfId="1" applyFont="1" applyBorder="1"/>
    <xf numFmtId="164" fontId="12" fillId="0" borderId="10" xfId="1" applyNumberFormat="1" applyFont="1" applyBorder="1" applyAlignment="1">
      <alignment horizontal="center"/>
    </xf>
    <xf numFmtId="164" fontId="12" fillId="0" borderId="9" xfId="1" applyNumberFormat="1" applyFont="1" applyBorder="1" applyAlignment="1"/>
    <xf numFmtId="164" fontId="11" fillId="0" borderId="10" xfId="1" applyNumberFormat="1" applyFont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43" fontId="0" fillId="0" borderId="9" xfId="1" applyFont="1" applyBorder="1"/>
    <xf numFmtId="43" fontId="0" fillId="0" borderId="27" xfId="1" applyFont="1" applyBorder="1"/>
    <xf numFmtId="43" fontId="0" fillId="0" borderId="14" xfId="1" applyFont="1" applyBorder="1"/>
    <xf numFmtId="43" fontId="0" fillId="0" borderId="10" xfId="1" applyFont="1" applyBorder="1"/>
    <xf numFmtId="43" fontId="0" fillId="0" borderId="0" xfId="1" applyFont="1"/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28" xfId="0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164" fontId="11" fillId="0" borderId="10" xfId="1" applyNumberFormat="1" applyFont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0" fillId="0" borderId="10" xfId="0" applyFill="1" applyBorder="1"/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6" fillId="0" borderId="0" xfId="1" applyNumberFormat="1" applyFont="1"/>
    <xf numFmtId="164" fontId="6" fillId="0" borderId="10" xfId="1" applyNumberFormat="1" applyFont="1" applyBorder="1"/>
    <xf numFmtId="164" fontId="6" fillId="0" borderId="10" xfId="1" applyNumberFormat="1" applyFont="1" applyBorder="1" applyAlignment="1">
      <alignment horizontal="center"/>
    </xf>
    <xf numFmtId="164" fontId="6" fillId="0" borderId="10" xfId="1" applyNumberFormat="1" applyFont="1" applyBorder="1" applyAlignment="1"/>
    <xf numFmtId="164" fontId="6" fillId="0" borderId="9" xfId="1" applyNumberFormat="1" applyFont="1" applyBorder="1" applyAlignment="1">
      <alignment horizontal="center"/>
    </xf>
    <xf numFmtId="164" fontId="6" fillId="0" borderId="15" xfId="1" applyNumberFormat="1" applyFont="1" applyBorder="1" applyAlignment="1">
      <alignment horizontal="center"/>
    </xf>
    <xf numFmtId="164" fontId="6" fillId="0" borderId="14" xfId="1" applyNumberFormat="1" applyFont="1" applyBorder="1" applyAlignment="1">
      <alignment horizontal="center"/>
    </xf>
    <xf numFmtId="164" fontId="6" fillId="0" borderId="14" xfId="1" applyNumberFormat="1" applyFont="1" applyBorder="1" applyAlignment="1"/>
    <xf numFmtId="164" fontId="14" fillId="0" borderId="10" xfId="1" applyNumberFormat="1" applyFont="1" applyBorder="1"/>
    <xf numFmtId="164" fontId="6" fillId="0" borderId="9" xfId="1" applyNumberFormat="1" applyFont="1" applyBorder="1"/>
    <xf numFmtId="164" fontId="6" fillId="0" borderId="14" xfId="1" applyNumberFormat="1" applyFont="1" applyBorder="1"/>
    <xf numFmtId="0" fontId="3" fillId="3" borderId="11" xfId="0" applyFont="1" applyFill="1" applyBorder="1" applyAlignment="1"/>
    <xf numFmtId="0" fontId="3" fillId="3" borderId="12" xfId="0" applyFont="1" applyFill="1" applyBorder="1" applyAlignment="1"/>
    <xf numFmtId="0" fontId="3" fillId="3" borderId="13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topLeftCell="A31" workbookViewId="0">
      <selection activeCell="E48" sqref="E48"/>
    </sheetView>
  </sheetViews>
  <sheetFormatPr defaultRowHeight="15"/>
  <cols>
    <col min="1" max="1" width="5.28515625" bestFit="1" customWidth="1"/>
    <col min="3" max="3" width="6.85546875" style="33" customWidth="1"/>
    <col min="4" max="4" width="28.140625" bestFit="1" customWidth="1"/>
    <col min="5" max="5" width="39.140625" bestFit="1" customWidth="1"/>
    <col min="6" max="6" width="4.85546875" customWidth="1"/>
    <col min="7" max="8" width="11.5703125" style="11" bestFit="1" customWidth="1"/>
    <col min="9" max="9" width="10.5703125" style="11" bestFit="1" customWidth="1"/>
    <col min="10" max="11" width="11.5703125" style="11" bestFit="1" customWidth="1"/>
    <col min="12" max="12" width="29.85546875" customWidth="1"/>
    <col min="13" max="13" width="5.5703125" customWidth="1"/>
    <col min="14" max="14" width="8.140625" customWidth="1"/>
    <col min="15" max="15" width="6.7109375" customWidth="1"/>
  </cols>
  <sheetData>
    <row r="1" spans="1:19" ht="15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</row>
    <row r="2" spans="1:19" ht="1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</row>
    <row r="3" spans="1:19" ht="15.75" customHeight="1" thickBot="1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</row>
    <row r="4" spans="1:19">
      <c r="F4" s="1"/>
      <c r="G4" s="10"/>
      <c r="H4" s="10"/>
      <c r="I4" s="10"/>
      <c r="J4" s="10"/>
    </row>
    <row r="5" spans="1:19" ht="15.75">
      <c r="A5" s="116" t="s">
        <v>1</v>
      </c>
      <c r="B5" s="118" t="s">
        <v>2</v>
      </c>
      <c r="C5" s="116" t="s">
        <v>51</v>
      </c>
      <c r="D5" s="120" t="s">
        <v>4</v>
      </c>
      <c r="E5" s="120" t="s">
        <v>5</v>
      </c>
      <c r="F5" s="2" t="s">
        <v>6</v>
      </c>
      <c r="G5" s="12" t="s">
        <v>7</v>
      </c>
      <c r="H5" s="12" t="s">
        <v>8</v>
      </c>
      <c r="I5" s="12" t="s">
        <v>9</v>
      </c>
      <c r="J5" s="12" t="s">
        <v>10</v>
      </c>
      <c r="K5" s="13" t="s">
        <v>11</v>
      </c>
      <c r="L5" s="166" t="s">
        <v>12</v>
      </c>
      <c r="M5" s="167"/>
      <c r="N5" s="167"/>
      <c r="O5" s="168"/>
      <c r="P5" s="3"/>
      <c r="Q5" s="3"/>
      <c r="R5" s="4"/>
      <c r="S5" s="4"/>
    </row>
    <row r="6" spans="1:19" ht="15.75">
      <c r="A6" s="117"/>
      <c r="B6" s="119"/>
      <c r="C6" s="117"/>
      <c r="D6" s="121"/>
      <c r="E6" s="121"/>
      <c r="F6" s="5"/>
      <c r="G6" s="14"/>
      <c r="H6" s="14"/>
      <c r="I6" s="14"/>
      <c r="J6" s="14"/>
      <c r="K6" s="15" t="s">
        <v>13</v>
      </c>
      <c r="O6" s="6"/>
      <c r="P6" s="6"/>
      <c r="Q6" s="6"/>
      <c r="R6" s="6"/>
      <c r="S6" s="4"/>
    </row>
    <row r="7" spans="1:19">
      <c r="A7" s="7"/>
      <c r="B7" s="7"/>
      <c r="C7" s="152"/>
      <c r="D7" s="7"/>
      <c r="E7" s="7"/>
      <c r="F7" s="7"/>
      <c r="G7" s="16"/>
      <c r="H7" s="16"/>
      <c r="I7" s="16"/>
      <c r="J7" s="16"/>
      <c r="K7" s="16"/>
      <c r="L7" s="7"/>
      <c r="M7" s="7"/>
      <c r="N7" s="7"/>
      <c r="O7" s="7"/>
      <c r="P7" s="7"/>
    </row>
    <row r="8" spans="1:19">
      <c r="A8" s="7">
        <v>1</v>
      </c>
      <c r="B8" s="7" t="s">
        <v>18</v>
      </c>
      <c r="C8" s="153">
        <v>1</v>
      </c>
      <c r="D8" s="7" t="s">
        <v>19</v>
      </c>
      <c r="E8" s="7" t="s">
        <v>20</v>
      </c>
      <c r="F8" s="7">
        <v>2</v>
      </c>
      <c r="G8" s="16">
        <v>117500</v>
      </c>
      <c r="H8" s="16">
        <v>235000</v>
      </c>
      <c r="I8" s="16">
        <v>30550</v>
      </c>
      <c r="J8" s="18">
        <f>I8+H8</f>
        <v>265550</v>
      </c>
      <c r="K8" s="104">
        <v>457650</v>
      </c>
      <c r="L8" s="7"/>
      <c r="M8" s="7"/>
      <c r="N8" s="19"/>
      <c r="O8" s="7"/>
      <c r="P8" s="7"/>
    </row>
    <row r="9" spans="1:19" s="9" customFormat="1" ht="15.75" thickBot="1">
      <c r="A9" s="8"/>
      <c r="B9" s="8"/>
      <c r="C9" s="154"/>
      <c r="D9" s="8"/>
      <c r="E9" s="8" t="s">
        <v>21</v>
      </c>
      <c r="F9" s="8">
        <v>1</v>
      </c>
      <c r="G9" s="17">
        <v>170000</v>
      </c>
      <c r="H9" s="17">
        <v>170000</v>
      </c>
      <c r="I9" s="22">
        <v>22100</v>
      </c>
      <c r="J9" s="18">
        <f>I9+H9</f>
        <v>192100</v>
      </c>
      <c r="K9" s="105"/>
      <c r="L9" s="8"/>
      <c r="M9" s="8"/>
      <c r="N9" s="8"/>
      <c r="O9" s="8"/>
      <c r="P9" s="8"/>
    </row>
    <row r="10" spans="1:19" ht="15.75" thickBot="1">
      <c r="A10" s="7"/>
      <c r="B10" s="7"/>
      <c r="C10" s="152"/>
      <c r="D10" s="7"/>
      <c r="E10" s="7"/>
      <c r="F10" s="7"/>
      <c r="G10" s="16"/>
      <c r="H10" s="23"/>
      <c r="I10" s="25">
        <v>52650</v>
      </c>
      <c r="J10" s="24"/>
      <c r="K10" s="16"/>
      <c r="L10" s="7"/>
      <c r="M10" s="7"/>
      <c r="N10" s="7"/>
      <c r="O10" s="7"/>
      <c r="P10" s="7"/>
    </row>
    <row r="11" spans="1:19">
      <c r="A11" s="7">
        <v>2</v>
      </c>
      <c r="B11" s="7" t="s">
        <v>18</v>
      </c>
      <c r="C11" s="153">
        <v>2</v>
      </c>
      <c r="D11" s="7" t="s">
        <v>19</v>
      </c>
      <c r="E11" s="7" t="s">
        <v>22</v>
      </c>
      <c r="F11" s="7">
        <v>3</v>
      </c>
      <c r="G11" s="16">
        <v>15000</v>
      </c>
      <c r="H11" s="16">
        <f>G11*F11</f>
        <v>45000</v>
      </c>
      <c r="I11" s="20">
        <f>H11*13%</f>
        <v>5850</v>
      </c>
      <c r="J11" s="18">
        <f t="shared" ref="J11:J43" si="0">I11+H11</f>
        <v>50850</v>
      </c>
      <c r="K11" s="104">
        <v>423750</v>
      </c>
      <c r="L11" s="7"/>
      <c r="M11" s="7"/>
      <c r="N11" s="8"/>
      <c r="O11" s="7"/>
      <c r="P11" s="7"/>
    </row>
    <row r="12" spans="1:19" s="9" customFormat="1">
      <c r="A12" s="8"/>
      <c r="B12" s="8"/>
      <c r="C12" s="154"/>
      <c r="D12" s="8"/>
      <c r="E12" s="8" t="s">
        <v>23</v>
      </c>
      <c r="F12" s="8">
        <v>1</v>
      </c>
      <c r="G12" s="17">
        <v>15000</v>
      </c>
      <c r="H12" s="16">
        <f t="shared" ref="H12:H36" si="1">G12*F12</f>
        <v>15000</v>
      </c>
      <c r="I12" s="16">
        <f t="shared" ref="I12:I14" si="2">H12*13%</f>
        <v>1950</v>
      </c>
      <c r="J12" s="18">
        <f t="shared" si="0"/>
        <v>16950</v>
      </c>
      <c r="K12" s="106"/>
      <c r="L12" s="8"/>
      <c r="M12" s="8"/>
      <c r="N12" s="8"/>
      <c r="O12" s="8"/>
      <c r="P12" s="8"/>
    </row>
    <row r="13" spans="1:19">
      <c r="A13" s="7"/>
      <c r="B13" s="7"/>
      <c r="C13" s="152"/>
      <c r="D13" s="7"/>
      <c r="E13" s="7" t="s">
        <v>24</v>
      </c>
      <c r="F13" s="7">
        <v>1</v>
      </c>
      <c r="G13" s="16">
        <v>140000</v>
      </c>
      <c r="H13" s="16">
        <f t="shared" si="1"/>
        <v>140000</v>
      </c>
      <c r="I13" s="16">
        <f t="shared" si="2"/>
        <v>18200</v>
      </c>
      <c r="J13" s="18">
        <f t="shared" si="0"/>
        <v>158200</v>
      </c>
      <c r="K13" s="106"/>
      <c r="L13" s="7"/>
      <c r="M13" s="7"/>
      <c r="N13" s="7"/>
      <c r="O13" s="7"/>
      <c r="P13" s="7"/>
    </row>
    <row r="14" spans="1:19" ht="15.75" thickBot="1">
      <c r="A14" s="7"/>
      <c r="B14" s="7"/>
      <c r="C14" s="152"/>
      <c r="D14" s="7"/>
      <c r="E14" s="7" t="s">
        <v>25</v>
      </c>
      <c r="F14" s="7">
        <v>1</v>
      </c>
      <c r="G14" s="16">
        <v>175000</v>
      </c>
      <c r="H14" s="16">
        <f t="shared" si="1"/>
        <v>175000</v>
      </c>
      <c r="I14" s="21">
        <f t="shared" si="2"/>
        <v>22750</v>
      </c>
      <c r="J14" s="18">
        <f t="shared" si="0"/>
        <v>197750</v>
      </c>
      <c r="K14" s="105"/>
      <c r="L14" s="7"/>
      <c r="M14" s="7"/>
      <c r="N14" s="7"/>
      <c r="O14" s="7"/>
      <c r="P14" s="7"/>
    </row>
    <row r="15" spans="1:19" ht="15.75" thickBot="1">
      <c r="A15" s="7"/>
      <c r="B15" s="7"/>
      <c r="C15" s="152"/>
      <c r="D15" s="7"/>
      <c r="E15" s="7"/>
      <c r="F15" s="7"/>
      <c r="G15" s="16"/>
      <c r="H15" s="16">
        <f t="shared" si="1"/>
        <v>0</v>
      </c>
      <c r="I15" s="25">
        <v>48750</v>
      </c>
      <c r="J15" s="18">
        <f t="shared" si="0"/>
        <v>48750</v>
      </c>
      <c r="K15" s="16"/>
      <c r="L15" s="7"/>
      <c r="M15" s="7"/>
      <c r="N15" s="7"/>
      <c r="O15" s="7"/>
      <c r="P15" s="7"/>
    </row>
    <row r="16" spans="1:19">
      <c r="A16" s="7"/>
      <c r="B16" s="7"/>
      <c r="C16" s="152"/>
      <c r="D16" s="7"/>
      <c r="E16" s="7"/>
      <c r="F16" s="7"/>
      <c r="G16" s="16"/>
      <c r="H16" s="16">
        <f t="shared" si="1"/>
        <v>0</v>
      </c>
      <c r="I16" s="20"/>
      <c r="J16" s="18">
        <f t="shared" si="0"/>
        <v>0</v>
      </c>
      <c r="K16" s="16"/>
      <c r="L16" s="7"/>
      <c r="M16" s="7"/>
      <c r="N16" s="7"/>
      <c r="O16" s="7"/>
      <c r="P16" s="7"/>
    </row>
    <row r="17" spans="1:16">
      <c r="A17" s="7">
        <v>3</v>
      </c>
      <c r="B17" s="7" t="s">
        <v>18</v>
      </c>
      <c r="C17" s="152">
        <v>3</v>
      </c>
      <c r="D17" s="7" t="s">
        <v>26</v>
      </c>
      <c r="E17" s="7" t="s">
        <v>27</v>
      </c>
      <c r="F17" s="7">
        <v>1</v>
      </c>
      <c r="G17" s="16">
        <v>50000</v>
      </c>
      <c r="H17" s="16">
        <f t="shared" si="1"/>
        <v>50000</v>
      </c>
      <c r="I17" s="16">
        <f>H17*13%</f>
        <v>6500</v>
      </c>
      <c r="J17" s="18">
        <f t="shared" si="0"/>
        <v>56500</v>
      </c>
      <c r="K17" s="104">
        <v>231650</v>
      </c>
      <c r="L17" s="7"/>
      <c r="M17" s="7"/>
      <c r="N17" s="7"/>
      <c r="O17" s="7"/>
      <c r="P17" s="7"/>
    </row>
    <row r="18" spans="1:16">
      <c r="A18" s="7"/>
      <c r="B18" s="7"/>
      <c r="C18" s="152"/>
      <c r="D18" s="7"/>
      <c r="E18" s="7" t="s">
        <v>28</v>
      </c>
      <c r="F18" s="7">
        <v>1</v>
      </c>
      <c r="G18" s="16">
        <v>45000</v>
      </c>
      <c r="H18" s="16">
        <f t="shared" si="1"/>
        <v>45000</v>
      </c>
      <c r="I18" s="16">
        <f t="shared" ref="I18:I20" si="3">H18*13%</f>
        <v>5850</v>
      </c>
      <c r="J18" s="18">
        <f t="shared" si="0"/>
        <v>50850</v>
      </c>
      <c r="K18" s="106"/>
      <c r="L18" s="7"/>
      <c r="M18" s="7"/>
      <c r="N18" s="7"/>
      <c r="O18" s="7"/>
      <c r="P18" s="7"/>
    </row>
    <row r="19" spans="1:16">
      <c r="A19" s="7"/>
      <c r="B19" s="7"/>
      <c r="C19" s="153"/>
      <c r="D19" s="7"/>
      <c r="E19" s="7" t="s">
        <v>29</v>
      </c>
      <c r="F19" s="7">
        <v>1</v>
      </c>
      <c r="G19" s="16">
        <v>45000</v>
      </c>
      <c r="H19" s="16">
        <f t="shared" si="1"/>
        <v>45000</v>
      </c>
      <c r="I19" s="16">
        <f t="shared" si="3"/>
        <v>5850</v>
      </c>
      <c r="J19" s="18">
        <f t="shared" si="0"/>
        <v>50850</v>
      </c>
      <c r="K19" s="106"/>
      <c r="L19" s="7"/>
      <c r="M19" s="7"/>
      <c r="N19" s="7"/>
      <c r="O19" s="7"/>
      <c r="P19" s="7"/>
    </row>
    <row r="20" spans="1:16" ht="15.75" thickBot="1">
      <c r="A20" s="7"/>
      <c r="B20" s="7"/>
      <c r="C20" s="153"/>
      <c r="D20" s="7"/>
      <c r="E20" s="7" t="s">
        <v>30</v>
      </c>
      <c r="F20" s="7">
        <v>1</v>
      </c>
      <c r="G20" s="16">
        <v>65000</v>
      </c>
      <c r="H20" s="16">
        <f t="shared" si="1"/>
        <v>65000</v>
      </c>
      <c r="I20" s="26">
        <f t="shared" si="3"/>
        <v>8450</v>
      </c>
      <c r="J20" s="18">
        <f t="shared" si="0"/>
        <v>73450</v>
      </c>
      <c r="K20" s="105"/>
      <c r="L20" s="7"/>
      <c r="M20" s="7"/>
      <c r="N20" s="7"/>
      <c r="O20" s="7"/>
      <c r="P20" s="7"/>
    </row>
    <row r="21" spans="1:16" ht="15.75" thickBot="1">
      <c r="A21" s="7"/>
      <c r="B21" s="7"/>
      <c r="C21" s="152"/>
      <c r="D21" s="7"/>
      <c r="E21" s="7"/>
      <c r="F21" s="7"/>
      <c r="G21" s="16"/>
      <c r="H21" s="16">
        <f t="shared" si="1"/>
        <v>0</v>
      </c>
      <c r="I21" s="25">
        <v>26650</v>
      </c>
      <c r="J21" s="18"/>
      <c r="K21" s="16"/>
      <c r="L21" s="7"/>
      <c r="M21" s="7"/>
      <c r="N21" s="7"/>
      <c r="O21" s="7"/>
      <c r="P21" s="7"/>
    </row>
    <row r="22" spans="1:16">
      <c r="A22" s="7"/>
      <c r="B22" s="7"/>
      <c r="C22" s="152"/>
      <c r="D22" s="7"/>
      <c r="E22" s="7"/>
      <c r="F22" s="7"/>
      <c r="G22" s="16"/>
      <c r="H22" s="16">
        <f t="shared" si="1"/>
        <v>0</v>
      </c>
      <c r="I22" s="20"/>
      <c r="J22" s="18">
        <f t="shared" si="0"/>
        <v>0</v>
      </c>
      <c r="K22" s="16"/>
      <c r="L22" s="7"/>
      <c r="M22" s="7"/>
      <c r="N22" s="7"/>
      <c r="O22" s="7"/>
      <c r="P22" s="7"/>
    </row>
    <row r="23" spans="1:16">
      <c r="A23" s="7">
        <v>4</v>
      </c>
      <c r="B23" s="7" t="s">
        <v>18</v>
      </c>
      <c r="C23" s="152">
        <v>4</v>
      </c>
      <c r="D23" s="7" t="s">
        <v>19</v>
      </c>
      <c r="E23" s="27" t="s">
        <v>31</v>
      </c>
      <c r="F23" s="7">
        <v>2</v>
      </c>
      <c r="G23" s="16">
        <v>55000</v>
      </c>
      <c r="H23" s="16">
        <f t="shared" si="1"/>
        <v>110000</v>
      </c>
      <c r="I23" s="16">
        <v>14300</v>
      </c>
      <c r="J23" s="18">
        <f t="shared" si="0"/>
        <v>124300</v>
      </c>
      <c r="K23" s="16">
        <v>124300</v>
      </c>
      <c r="L23" s="7"/>
      <c r="M23" s="7"/>
      <c r="N23" s="7"/>
      <c r="O23" s="7"/>
      <c r="P23" s="7"/>
    </row>
    <row r="24" spans="1:16">
      <c r="A24" s="7"/>
      <c r="B24" s="7"/>
      <c r="C24" s="152"/>
      <c r="D24" s="7"/>
      <c r="E24" s="7"/>
      <c r="F24" s="7"/>
      <c r="G24" s="16"/>
      <c r="H24" s="16">
        <f t="shared" si="1"/>
        <v>0</v>
      </c>
      <c r="I24" s="16"/>
      <c r="J24" s="18">
        <f t="shared" si="0"/>
        <v>0</v>
      </c>
      <c r="K24" s="16"/>
      <c r="L24" s="7"/>
      <c r="M24" s="7"/>
      <c r="N24" s="7"/>
      <c r="O24" s="7"/>
      <c r="P24" s="7"/>
    </row>
    <row r="25" spans="1:16">
      <c r="A25" s="7">
        <v>5</v>
      </c>
      <c r="B25" s="7" t="s">
        <v>32</v>
      </c>
      <c r="C25" s="153">
        <v>5</v>
      </c>
      <c r="D25" s="27" t="s">
        <v>34</v>
      </c>
      <c r="E25" s="7" t="s">
        <v>33</v>
      </c>
      <c r="F25" s="7">
        <v>4</v>
      </c>
      <c r="G25" s="16">
        <v>5600</v>
      </c>
      <c r="H25" s="16">
        <f t="shared" si="1"/>
        <v>22400</v>
      </c>
      <c r="I25" s="16">
        <v>2912</v>
      </c>
      <c r="J25" s="18">
        <f t="shared" si="0"/>
        <v>25312</v>
      </c>
      <c r="K25" s="16">
        <v>25312</v>
      </c>
      <c r="L25" s="7" t="s">
        <v>163</v>
      </c>
      <c r="M25" s="7"/>
      <c r="N25" s="7"/>
      <c r="O25" s="7"/>
      <c r="P25" s="7"/>
    </row>
    <row r="26" spans="1:16">
      <c r="A26" s="7"/>
      <c r="B26" s="7"/>
      <c r="C26" s="152"/>
      <c r="D26" s="7"/>
      <c r="E26" s="7"/>
      <c r="F26" s="7"/>
      <c r="G26" s="16"/>
      <c r="H26" s="16">
        <f t="shared" si="1"/>
        <v>0</v>
      </c>
      <c r="I26" s="16"/>
      <c r="J26" s="18">
        <f t="shared" si="0"/>
        <v>0</v>
      </c>
      <c r="K26" s="16"/>
      <c r="L26" s="7"/>
      <c r="M26" s="7"/>
      <c r="N26" s="7"/>
      <c r="O26" s="7"/>
      <c r="P26" s="7"/>
    </row>
    <row r="27" spans="1:16">
      <c r="A27" s="7">
        <v>6</v>
      </c>
      <c r="B27" s="7" t="s">
        <v>35</v>
      </c>
      <c r="C27" s="153">
        <v>6</v>
      </c>
      <c r="D27" s="7" t="s">
        <v>36</v>
      </c>
      <c r="E27" s="7" t="s">
        <v>37</v>
      </c>
      <c r="F27" s="7">
        <v>1</v>
      </c>
      <c r="G27" s="16">
        <v>53097.35</v>
      </c>
      <c r="H27" s="16">
        <f t="shared" si="1"/>
        <v>53097.35</v>
      </c>
      <c r="I27" s="16">
        <f>H27*13%</f>
        <v>6902.6554999999998</v>
      </c>
      <c r="J27" s="18">
        <f t="shared" si="0"/>
        <v>60000.005499999999</v>
      </c>
      <c r="K27" s="16">
        <v>60000</v>
      </c>
      <c r="L27" s="7"/>
      <c r="M27" s="7"/>
      <c r="N27" s="7"/>
      <c r="O27" s="7"/>
      <c r="P27" s="7"/>
    </row>
    <row r="28" spans="1:16">
      <c r="A28" s="7"/>
      <c r="B28" s="7"/>
      <c r="C28" s="152"/>
      <c r="D28" s="7"/>
      <c r="E28" s="7"/>
      <c r="F28" s="7"/>
      <c r="G28" s="16"/>
      <c r="H28" s="16">
        <f t="shared" si="1"/>
        <v>0</v>
      </c>
      <c r="I28" s="16">
        <f t="shared" ref="I28:I44" si="4">H28*13%</f>
        <v>0</v>
      </c>
      <c r="J28" s="18">
        <f t="shared" si="0"/>
        <v>0</v>
      </c>
      <c r="K28" s="16"/>
      <c r="L28" s="7"/>
      <c r="M28" s="7"/>
      <c r="N28" s="7"/>
      <c r="O28" s="7"/>
      <c r="P28" s="7"/>
    </row>
    <row r="29" spans="1:16" s="44" customFormat="1">
      <c r="A29" s="32">
        <v>7</v>
      </c>
      <c r="B29" s="32" t="s">
        <v>38</v>
      </c>
      <c r="C29" s="153">
        <v>7</v>
      </c>
      <c r="D29" s="32" t="s">
        <v>39</v>
      </c>
      <c r="E29" s="32" t="s">
        <v>40</v>
      </c>
      <c r="F29" s="32">
        <v>1</v>
      </c>
      <c r="G29" s="42">
        <v>135000</v>
      </c>
      <c r="H29" s="42">
        <f t="shared" si="1"/>
        <v>135000</v>
      </c>
      <c r="I29" s="42">
        <f t="shared" si="4"/>
        <v>17550</v>
      </c>
      <c r="J29" s="43">
        <f t="shared" si="0"/>
        <v>152550</v>
      </c>
      <c r="K29" s="42"/>
      <c r="L29" s="32"/>
      <c r="M29" s="32"/>
      <c r="N29" s="32"/>
      <c r="O29" s="32"/>
      <c r="P29" s="32" t="s">
        <v>80</v>
      </c>
    </row>
    <row r="30" spans="1:16">
      <c r="A30" s="7"/>
      <c r="B30" s="7"/>
      <c r="C30" s="152"/>
      <c r="D30" s="7"/>
      <c r="E30" s="7"/>
      <c r="F30" s="7"/>
      <c r="G30" s="16"/>
      <c r="H30" s="16">
        <f t="shared" si="1"/>
        <v>0</v>
      </c>
      <c r="I30" s="16">
        <f t="shared" si="4"/>
        <v>0</v>
      </c>
      <c r="J30" s="18">
        <f t="shared" si="0"/>
        <v>0</v>
      </c>
      <c r="K30" s="16"/>
      <c r="L30" s="7"/>
      <c r="M30" s="7"/>
      <c r="N30" s="7"/>
      <c r="O30" s="7"/>
      <c r="P30" s="7"/>
    </row>
    <row r="31" spans="1:16">
      <c r="A31" s="7">
        <v>8</v>
      </c>
      <c r="B31" s="7" t="s">
        <v>41</v>
      </c>
      <c r="C31" s="152">
        <v>8</v>
      </c>
      <c r="D31" s="7" t="s">
        <v>42</v>
      </c>
      <c r="E31" s="7" t="s">
        <v>43</v>
      </c>
      <c r="F31" s="7">
        <v>1</v>
      </c>
      <c r="G31" s="16">
        <v>55000</v>
      </c>
      <c r="H31" s="16">
        <f t="shared" si="1"/>
        <v>55000</v>
      </c>
      <c r="I31" s="16">
        <f t="shared" si="4"/>
        <v>7150</v>
      </c>
      <c r="J31" s="18">
        <f t="shared" si="0"/>
        <v>62150</v>
      </c>
      <c r="K31" s="104">
        <v>64410</v>
      </c>
      <c r="L31" s="7"/>
      <c r="M31" s="7"/>
      <c r="N31" s="7"/>
      <c r="O31" s="7"/>
      <c r="P31" s="7"/>
    </row>
    <row r="32" spans="1:16" ht="15.75" thickBot="1">
      <c r="A32" s="7"/>
      <c r="B32" s="7"/>
      <c r="C32" s="152"/>
      <c r="D32" s="7"/>
      <c r="E32" s="7" t="s">
        <v>44</v>
      </c>
      <c r="F32" s="7">
        <v>1</v>
      </c>
      <c r="G32" s="16">
        <v>2000</v>
      </c>
      <c r="H32" s="16">
        <f t="shared" si="1"/>
        <v>2000</v>
      </c>
      <c r="I32" s="26">
        <f t="shared" si="4"/>
        <v>260</v>
      </c>
      <c r="J32" s="18">
        <f t="shared" si="0"/>
        <v>2260</v>
      </c>
      <c r="K32" s="105"/>
      <c r="L32" s="7"/>
      <c r="M32" s="7"/>
      <c r="N32" s="7"/>
      <c r="O32" s="7"/>
      <c r="P32" s="7"/>
    </row>
    <row r="33" spans="1:16" ht="15.75" thickBot="1">
      <c r="A33" s="7"/>
      <c r="B33" s="7"/>
      <c r="C33" s="152"/>
      <c r="D33" s="7"/>
      <c r="E33" s="7"/>
      <c r="F33" s="7"/>
      <c r="G33" s="16"/>
      <c r="H33" s="23">
        <f t="shared" si="1"/>
        <v>0</v>
      </c>
      <c r="I33" s="25">
        <v>7410</v>
      </c>
      <c r="J33" s="24"/>
      <c r="K33" s="16"/>
      <c r="L33" s="7"/>
      <c r="M33" s="7"/>
      <c r="N33" s="7"/>
      <c r="O33" s="7"/>
      <c r="P33" s="7"/>
    </row>
    <row r="34" spans="1:16">
      <c r="A34" s="7"/>
      <c r="B34" s="7"/>
      <c r="C34" s="152"/>
      <c r="D34" s="7"/>
      <c r="E34" s="7"/>
      <c r="F34" s="7"/>
      <c r="G34" s="16"/>
      <c r="H34" s="23"/>
      <c r="I34" s="28"/>
      <c r="J34" s="24"/>
      <c r="K34" s="26"/>
      <c r="L34" s="7"/>
      <c r="M34" s="7"/>
      <c r="N34" s="7"/>
      <c r="O34" s="7"/>
      <c r="P34" s="7"/>
    </row>
    <row r="35" spans="1:16">
      <c r="A35" s="7">
        <v>9</v>
      </c>
      <c r="B35" s="7" t="s">
        <v>41</v>
      </c>
      <c r="C35" s="152">
        <v>9</v>
      </c>
      <c r="D35" s="7" t="s">
        <v>42</v>
      </c>
      <c r="E35" s="7" t="s">
        <v>43</v>
      </c>
      <c r="F35" s="7">
        <v>1</v>
      </c>
      <c r="G35" s="16">
        <v>55000</v>
      </c>
      <c r="H35" s="16">
        <f t="shared" si="1"/>
        <v>55000</v>
      </c>
      <c r="I35" s="20">
        <f t="shared" si="4"/>
        <v>7150</v>
      </c>
      <c r="J35" s="18">
        <f t="shared" si="0"/>
        <v>62150</v>
      </c>
      <c r="K35" s="104">
        <v>64410</v>
      </c>
      <c r="L35" s="7"/>
      <c r="M35" s="7"/>
      <c r="N35" s="7"/>
      <c r="O35" s="7"/>
      <c r="P35" s="7"/>
    </row>
    <row r="36" spans="1:16" ht="15.75" thickBot="1">
      <c r="A36" s="7"/>
      <c r="B36" s="7"/>
      <c r="C36" s="152"/>
      <c r="D36" s="7"/>
      <c r="E36" s="7" t="s">
        <v>44</v>
      </c>
      <c r="F36" s="7">
        <v>1</v>
      </c>
      <c r="G36" s="16">
        <v>2000</v>
      </c>
      <c r="H36" s="16">
        <f t="shared" si="1"/>
        <v>2000</v>
      </c>
      <c r="I36" s="26">
        <f t="shared" si="4"/>
        <v>260</v>
      </c>
      <c r="J36" s="18">
        <f t="shared" si="0"/>
        <v>2260</v>
      </c>
      <c r="K36" s="105"/>
      <c r="L36" s="7"/>
      <c r="M36" s="7"/>
      <c r="N36" s="7"/>
      <c r="O36" s="7"/>
      <c r="P36" s="7"/>
    </row>
    <row r="37" spans="1:16" ht="15.75" thickBot="1">
      <c r="A37" s="7"/>
      <c r="B37" s="7"/>
      <c r="C37" s="152"/>
      <c r="D37" s="7"/>
      <c r="E37" s="7"/>
      <c r="F37" s="7"/>
      <c r="G37" s="16"/>
      <c r="H37" s="23"/>
      <c r="I37" s="25">
        <v>7410</v>
      </c>
      <c r="J37" s="24"/>
      <c r="K37" s="16"/>
      <c r="L37" s="7"/>
      <c r="M37" s="7"/>
      <c r="N37" s="7"/>
      <c r="O37" s="7"/>
      <c r="P37" s="7"/>
    </row>
    <row r="38" spans="1:16">
      <c r="A38" s="7"/>
      <c r="B38" s="7"/>
      <c r="C38" s="152"/>
      <c r="D38" s="7"/>
      <c r="E38" s="7"/>
      <c r="F38" s="7"/>
      <c r="G38" s="16"/>
      <c r="H38" s="23"/>
      <c r="I38" s="28"/>
      <c r="J38" s="24"/>
      <c r="K38" s="26"/>
      <c r="L38" s="7"/>
      <c r="M38" s="7"/>
      <c r="N38" s="7"/>
      <c r="O38" s="7"/>
      <c r="P38" s="7"/>
    </row>
    <row r="39" spans="1:16">
      <c r="A39" s="7">
        <v>10</v>
      </c>
      <c r="B39" s="7" t="s">
        <v>41</v>
      </c>
      <c r="C39" s="152">
        <v>11</v>
      </c>
      <c r="D39" s="7" t="s">
        <v>42</v>
      </c>
      <c r="E39" s="7" t="s">
        <v>43</v>
      </c>
      <c r="F39" s="7">
        <v>1</v>
      </c>
      <c r="G39" s="16">
        <v>55000</v>
      </c>
      <c r="H39" s="16">
        <f t="shared" ref="H39:H43" si="5">G39*F39</f>
        <v>55000</v>
      </c>
      <c r="I39" s="20">
        <f t="shared" si="4"/>
        <v>7150</v>
      </c>
      <c r="J39" s="18">
        <f t="shared" ref="J39:J40" si="6">I39+H39</f>
        <v>62150</v>
      </c>
      <c r="K39" s="104">
        <v>64410</v>
      </c>
      <c r="L39" s="7"/>
      <c r="M39" s="7"/>
      <c r="N39" s="7"/>
      <c r="O39" s="7"/>
      <c r="P39" s="7"/>
    </row>
    <row r="40" spans="1:16" ht="15.75" thickBot="1">
      <c r="A40" s="7"/>
      <c r="B40" s="7"/>
      <c r="C40" s="152"/>
      <c r="D40" s="7"/>
      <c r="E40" s="7" t="s">
        <v>44</v>
      </c>
      <c r="F40" s="7">
        <v>1</v>
      </c>
      <c r="G40" s="16">
        <v>2000</v>
      </c>
      <c r="H40" s="16">
        <f t="shared" si="5"/>
        <v>2000</v>
      </c>
      <c r="I40" s="26">
        <f t="shared" si="4"/>
        <v>260</v>
      </c>
      <c r="J40" s="18">
        <f t="shared" si="6"/>
        <v>2260</v>
      </c>
      <c r="K40" s="105"/>
      <c r="L40" s="7"/>
      <c r="M40" s="7"/>
      <c r="N40" s="7"/>
      <c r="O40" s="7"/>
      <c r="P40" s="7"/>
    </row>
    <row r="41" spans="1:16" ht="15.75" thickBot="1">
      <c r="A41" s="7"/>
      <c r="B41" s="7"/>
      <c r="C41" s="152"/>
      <c r="D41" s="7"/>
      <c r="E41" s="7"/>
      <c r="F41" s="7"/>
      <c r="G41" s="16"/>
      <c r="H41" s="23">
        <f t="shared" si="5"/>
        <v>0</v>
      </c>
      <c r="I41" s="25">
        <v>7410</v>
      </c>
      <c r="J41" s="24"/>
      <c r="K41" s="16"/>
      <c r="L41" s="7"/>
      <c r="M41" s="7"/>
      <c r="N41" s="7"/>
      <c r="O41" s="7"/>
      <c r="P41" s="7"/>
    </row>
    <row r="42" spans="1:16">
      <c r="A42" s="7"/>
      <c r="B42" s="7"/>
      <c r="C42" s="152"/>
      <c r="D42" s="7"/>
      <c r="E42" s="7"/>
      <c r="F42" s="7"/>
      <c r="G42" s="16"/>
      <c r="H42" s="23"/>
      <c r="I42" s="28"/>
      <c r="J42" s="24"/>
      <c r="K42" s="16"/>
      <c r="L42" s="7"/>
      <c r="M42" s="7"/>
      <c r="N42" s="7"/>
      <c r="O42" s="7"/>
      <c r="P42" s="7"/>
    </row>
    <row r="43" spans="1:16">
      <c r="A43" s="7">
        <v>11</v>
      </c>
      <c r="B43" s="7" t="s">
        <v>41</v>
      </c>
      <c r="C43" s="152">
        <v>12</v>
      </c>
      <c r="D43" s="7" t="s">
        <v>45</v>
      </c>
      <c r="E43" s="7" t="s">
        <v>46</v>
      </c>
      <c r="F43" s="7">
        <v>1</v>
      </c>
      <c r="G43" s="16">
        <v>28761</v>
      </c>
      <c r="H43" s="16">
        <f t="shared" si="5"/>
        <v>28761</v>
      </c>
      <c r="I43" s="20">
        <f t="shared" si="4"/>
        <v>3738.9300000000003</v>
      </c>
      <c r="J43" s="18">
        <f t="shared" si="0"/>
        <v>32499.93</v>
      </c>
      <c r="K43" s="16">
        <v>32499.93</v>
      </c>
      <c r="L43" s="7"/>
      <c r="M43" s="7"/>
      <c r="N43" s="7"/>
      <c r="O43" s="7"/>
      <c r="P43" s="7"/>
    </row>
    <row r="44" spans="1:16">
      <c r="A44" s="7"/>
      <c r="B44" s="7"/>
      <c r="C44" s="152"/>
      <c r="D44" s="7"/>
      <c r="E44" s="7"/>
      <c r="F44" s="7"/>
      <c r="G44" s="16"/>
      <c r="H44" s="16"/>
      <c r="I44" s="16">
        <f t="shared" si="4"/>
        <v>0</v>
      </c>
      <c r="J44" s="16"/>
      <c r="K44" s="16"/>
      <c r="L44" s="7"/>
      <c r="M44" s="7"/>
      <c r="N44" s="7"/>
      <c r="O44" s="7"/>
      <c r="P44" s="7"/>
    </row>
    <row r="45" spans="1:16" ht="15.75" thickBot="1">
      <c r="A45" s="7"/>
      <c r="B45" s="7"/>
      <c r="C45" s="152"/>
      <c r="D45" s="7"/>
      <c r="E45" s="7"/>
      <c r="F45" s="7"/>
      <c r="G45" s="16"/>
      <c r="H45" s="16"/>
      <c r="I45" s="26"/>
      <c r="J45" s="16"/>
      <c r="K45" s="26"/>
      <c r="L45" s="7"/>
      <c r="M45" s="7"/>
      <c r="N45" s="7"/>
      <c r="O45" s="7"/>
      <c r="P45" s="7"/>
    </row>
    <row r="46" spans="1:16" ht="15.75" thickBot="1">
      <c r="A46" s="7"/>
      <c r="B46" s="7"/>
      <c r="C46" s="152"/>
      <c r="D46" s="7"/>
      <c r="E46" s="7"/>
      <c r="F46" s="7"/>
      <c r="G46" s="16"/>
      <c r="H46" s="23"/>
      <c r="I46" s="30">
        <f>K46*13%</f>
        <v>201290.9509</v>
      </c>
      <c r="J46" s="31"/>
      <c r="K46" s="30">
        <f>SUM(K7:K45)</f>
        <v>1548391.93</v>
      </c>
      <c r="L46" s="29"/>
      <c r="M46" s="7"/>
      <c r="N46" s="7"/>
      <c r="O46" s="7"/>
      <c r="P46" s="7"/>
    </row>
    <row r="47" spans="1:16">
      <c r="A47" s="7"/>
      <c r="B47" s="7"/>
      <c r="C47" s="152"/>
      <c r="D47" s="7"/>
      <c r="E47" s="7"/>
      <c r="F47" s="7"/>
      <c r="G47" s="16"/>
      <c r="H47" s="16"/>
      <c r="I47" s="20"/>
      <c r="J47" s="16"/>
      <c r="K47" s="20"/>
      <c r="L47" s="7"/>
      <c r="M47" s="7"/>
      <c r="N47" s="7"/>
      <c r="O47" s="7"/>
      <c r="P47" s="7"/>
    </row>
    <row r="48" spans="1:16">
      <c r="A48" s="7"/>
      <c r="B48" s="7"/>
      <c r="C48" s="152"/>
      <c r="D48" s="7"/>
      <c r="E48" s="7"/>
      <c r="F48" s="7"/>
      <c r="G48" s="16"/>
      <c r="H48" s="16"/>
      <c r="I48" s="16"/>
      <c r="J48" s="16"/>
      <c r="K48" s="16"/>
      <c r="L48" s="7"/>
      <c r="M48" s="7"/>
      <c r="N48" s="7"/>
      <c r="O48" s="7"/>
      <c r="P48" s="7"/>
    </row>
    <row r="49" spans="1:16">
      <c r="A49" s="7"/>
      <c r="B49" s="7"/>
      <c r="C49" s="152"/>
      <c r="D49" s="7"/>
      <c r="E49" s="7"/>
      <c r="F49" s="7"/>
      <c r="G49" s="16"/>
      <c r="H49" s="16"/>
      <c r="I49" s="16"/>
      <c r="J49" s="16"/>
      <c r="K49" s="16"/>
      <c r="L49" s="7"/>
      <c r="M49" s="7"/>
      <c r="N49" s="7"/>
      <c r="O49" s="7"/>
      <c r="P49" s="7"/>
    </row>
    <row r="50" spans="1:16">
      <c r="A50" s="7"/>
      <c r="B50" s="7"/>
      <c r="C50" s="152"/>
      <c r="D50" s="7"/>
      <c r="E50" s="7"/>
      <c r="F50" s="7"/>
      <c r="G50" s="16"/>
      <c r="H50" s="16"/>
      <c r="I50" s="16"/>
      <c r="J50" s="16"/>
      <c r="K50" s="16"/>
      <c r="L50" s="7"/>
      <c r="M50" s="7"/>
      <c r="N50" s="7"/>
      <c r="O50" s="7"/>
      <c r="P50" s="7"/>
    </row>
    <row r="51" spans="1:16">
      <c r="A51" s="7"/>
      <c r="B51" s="7"/>
      <c r="C51" s="152"/>
      <c r="D51" s="7"/>
      <c r="E51" s="7"/>
      <c r="F51" s="7"/>
      <c r="G51" s="16"/>
      <c r="H51" s="16"/>
      <c r="I51" s="16"/>
      <c r="J51" s="16"/>
      <c r="K51" s="16"/>
      <c r="L51" s="7"/>
      <c r="M51" s="7"/>
      <c r="N51" s="7"/>
      <c r="O51" s="7"/>
      <c r="P51" s="7"/>
    </row>
    <row r="52" spans="1:16">
      <c r="A52" s="7"/>
      <c r="B52" s="7"/>
      <c r="C52" s="152"/>
      <c r="D52" s="7"/>
      <c r="E52" s="7"/>
      <c r="F52" s="7"/>
      <c r="G52" s="16"/>
      <c r="H52" s="16"/>
      <c r="I52" s="16"/>
      <c r="J52" s="16"/>
      <c r="K52" s="16"/>
      <c r="L52" s="7"/>
      <c r="M52" s="7"/>
      <c r="N52" s="7"/>
      <c r="O52" s="7"/>
      <c r="P52" s="7"/>
    </row>
    <row r="53" spans="1:16">
      <c r="A53" s="7"/>
      <c r="B53" s="7"/>
      <c r="C53" s="152"/>
      <c r="D53" s="7"/>
      <c r="E53" s="7"/>
      <c r="F53" s="7"/>
      <c r="G53" s="16"/>
      <c r="H53" s="16"/>
      <c r="I53" s="16"/>
      <c r="J53" s="16"/>
      <c r="K53" s="16"/>
      <c r="L53" s="7"/>
      <c r="M53" s="7"/>
      <c r="N53" s="7"/>
      <c r="O53" s="7"/>
      <c r="P53" s="7"/>
    </row>
    <row r="54" spans="1:16">
      <c r="A54" s="7"/>
      <c r="B54" s="7"/>
      <c r="C54" s="152"/>
      <c r="D54" s="7"/>
      <c r="E54" s="7"/>
      <c r="F54" s="7"/>
      <c r="G54" s="16"/>
      <c r="H54" s="16"/>
      <c r="I54" s="16"/>
      <c r="J54" s="16"/>
      <c r="K54" s="16"/>
      <c r="L54" s="7"/>
      <c r="M54" s="7"/>
      <c r="N54" s="7"/>
      <c r="O54" s="7"/>
      <c r="P54" s="7"/>
    </row>
    <row r="55" spans="1:16">
      <c r="A55" s="7"/>
      <c r="B55" s="7"/>
      <c r="C55" s="152"/>
      <c r="D55" s="7"/>
      <c r="E55" s="7"/>
      <c r="F55" s="7"/>
      <c r="G55" s="16"/>
      <c r="H55" s="16"/>
      <c r="I55" s="16"/>
      <c r="J55" s="16"/>
      <c r="K55" s="16"/>
      <c r="L55" s="7"/>
      <c r="M55" s="7"/>
      <c r="N55" s="7"/>
      <c r="O55" s="7"/>
      <c r="P55" s="7"/>
    </row>
    <row r="56" spans="1:16">
      <c r="A56" s="7"/>
      <c r="B56" s="7"/>
      <c r="C56" s="152"/>
      <c r="D56" s="7"/>
      <c r="E56" s="7"/>
      <c r="F56" s="7"/>
      <c r="G56" s="16"/>
      <c r="H56" s="16"/>
      <c r="I56" s="16"/>
      <c r="J56" s="16"/>
      <c r="K56" s="16"/>
      <c r="L56" s="7"/>
      <c r="M56" s="7"/>
      <c r="N56" s="7"/>
      <c r="O56" s="7"/>
      <c r="P56" s="7"/>
    </row>
    <row r="57" spans="1:16">
      <c r="A57" s="7"/>
      <c r="B57" s="7"/>
      <c r="C57" s="152"/>
      <c r="D57" s="7"/>
      <c r="E57" s="7"/>
      <c r="F57" s="7"/>
      <c r="G57" s="16"/>
      <c r="H57" s="16"/>
      <c r="I57" s="16"/>
      <c r="J57" s="16"/>
      <c r="K57" s="16"/>
      <c r="L57" s="7"/>
      <c r="M57" s="7"/>
      <c r="N57" s="7"/>
      <c r="O57" s="7"/>
      <c r="P57" s="7"/>
    </row>
    <row r="58" spans="1:16">
      <c r="A58" s="7"/>
      <c r="B58" s="7"/>
      <c r="C58" s="152"/>
      <c r="D58" s="7"/>
      <c r="E58" s="7"/>
      <c r="F58" s="7"/>
      <c r="G58" s="16"/>
      <c r="H58" s="16"/>
      <c r="I58" s="16"/>
      <c r="J58" s="16"/>
      <c r="K58" s="16"/>
      <c r="L58" s="7"/>
      <c r="M58" s="7"/>
      <c r="N58" s="7"/>
      <c r="O58" s="7"/>
      <c r="P58" s="7"/>
    </row>
    <row r="59" spans="1:16">
      <c r="A59" s="7"/>
      <c r="B59" s="7"/>
      <c r="C59" s="152"/>
      <c r="D59" s="7"/>
      <c r="E59" s="7"/>
      <c r="F59" s="7"/>
      <c r="G59" s="16"/>
      <c r="H59" s="16"/>
      <c r="I59" s="16"/>
      <c r="J59" s="16"/>
      <c r="K59" s="16"/>
      <c r="L59" s="7"/>
      <c r="M59" s="7"/>
      <c r="N59" s="7"/>
      <c r="O59" s="7"/>
      <c r="P59" s="7"/>
    </row>
    <row r="60" spans="1:16">
      <c r="A60" s="7"/>
      <c r="B60" s="7"/>
      <c r="C60" s="152"/>
      <c r="D60" s="7"/>
      <c r="E60" s="7"/>
      <c r="F60" s="7"/>
      <c r="G60" s="16"/>
      <c r="H60" s="16"/>
      <c r="I60" s="16"/>
      <c r="J60" s="16"/>
      <c r="K60" s="16"/>
      <c r="L60" s="7"/>
      <c r="M60" s="7"/>
      <c r="N60" s="7"/>
      <c r="O60" s="7"/>
      <c r="P60" s="7"/>
    </row>
    <row r="61" spans="1:16">
      <c r="A61" s="7"/>
      <c r="B61" s="7"/>
      <c r="C61" s="152"/>
      <c r="D61" s="7"/>
      <c r="E61" s="7"/>
      <c r="F61" s="7"/>
      <c r="G61" s="16"/>
      <c r="H61" s="16"/>
      <c r="I61" s="16"/>
      <c r="J61" s="16"/>
      <c r="K61" s="16"/>
      <c r="L61" s="7"/>
      <c r="M61" s="7"/>
      <c r="N61" s="7"/>
      <c r="O61" s="7"/>
      <c r="P61" s="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1"/>
  <sheetViews>
    <sheetView topLeftCell="E49" zoomScale="90" zoomScaleNormal="90" workbookViewId="0">
      <selection activeCell="Q24" sqref="Q24"/>
    </sheetView>
  </sheetViews>
  <sheetFormatPr defaultRowHeight="15.75"/>
  <cols>
    <col min="1" max="1" width="2.140625" customWidth="1"/>
    <col min="3" max="3" width="8.140625" bestFit="1" customWidth="1"/>
    <col min="4" max="4" width="5.42578125" style="85" customWidth="1"/>
    <col min="5" max="5" width="28.42578125" customWidth="1"/>
    <col min="6" max="6" width="46.5703125" customWidth="1"/>
    <col min="7" max="7" width="5.28515625" style="84" customWidth="1"/>
    <col min="8" max="8" width="11.5703125" style="69" bestFit="1" customWidth="1"/>
    <col min="9" max="9" width="12.7109375" style="70" bestFit="1" customWidth="1"/>
    <col min="10" max="10" width="11.5703125" style="71" customWidth="1"/>
    <col min="11" max="11" width="11.5703125" style="49" bestFit="1" customWidth="1"/>
    <col min="12" max="12" width="12.140625" style="155" bestFit="1" customWidth="1"/>
    <col min="13" max="13" width="5.42578125" customWidth="1"/>
    <col min="14" max="14" width="5.85546875" customWidth="1"/>
    <col min="15" max="15" width="7.42578125" customWidth="1"/>
    <col min="16" max="16" width="6.140625" customWidth="1"/>
    <col min="17" max="17" width="45.42578125" customWidth="1"/>
  </cols>
  <sheetData>
    <row r="1" spans="1:20" ht="15">
      <c r="A1" s="123" t="s">
        <v>47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</row>
    <row r="2" spans="1:20" ht="15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</row>
    <row r="3" spans="1:20" thickBot="1">
      <c r="A3" s="129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</row>
    <row r="4" spans="1:20">
      <c r="G4" s="33"/>
      <c r="H4" s="45"/>
      <c r="I4" s="46"/>
      <c r="J4" s="47"/>
      <c r="K4" s="48"/>
    </row>
    <row r="5" spans="1:20">
      <c r="A5" s="132" t="s">
        <v>1</v>
      </c>
      <c r="B5" s="134" t="s">
        <v>2</v>
      </c>
      <c r="C5" s="136" t="s">
        <v>3</v>
      </c>
      <c r="D5" s="72" t="s">
        <v>85</v>
      </c>
      <c r="E5" s="136" t="s">
        <v>4</v>
      </c>
      <c r="F5" s="136" t="s">
        <v>5</v>
      </c>
      <c r="G5" s="2" t="s">
        <v>6</v>
      </c>
      <c r="H5" s="50" t="s">
        <v>7</v>
      </c>
      <c r="I5" s="51" t="s">
        <v>8</v>
      </c>
      <c r="J5" s="52" t="s">
        <v>9</v>
      </c>
      <c r="K5" s="52" t="s">
        <v>10</v>
      </c>
      <c r="L5" s="53" t="s">
        <v>11</v>
      </c>
      <c r="M5" s="138" t="s">
        <v>12</v>
      </c>
      <c r="N5" s="139"/>
      <c r="O5" s="139"/>
      <c r="P5" s="140"/>
      <c r="Q5" s="3"/>
      <c r="R5" s="3"/>
      <c r="S5" s="4"/>
      <c r="T5" s="4"/>
    </row>
    <row r="6" spans="1:20">
      <c r="A6" s="133"/>
      <c r="B6" s="135"/>
      <c r="C6" s="137"/>
      <c r="D6" s="73" t="s">
        <v>64</v>
      </c>
      <c r="E6" s="137"/>
      <c r="F6" s="137"/>
      <c r="G6" s="2"/>
      <c r="H6" s="54"/>
      <c r="I6" s="55"/>
      <c r="J6" s="52"/>
      <c r="K6" s="56"/>
      <c r="L6" s="57" t="s">
        <v>13</v>
      </c>
      <c r="M6" s="6" t="s">
        <v>14</v>
      </c>
      <c r="N6" s="6" t="s">
        <v>15</v>
      </c>
      <c r="O6" s="6" t="s">
        <v>16</v>
      </c>
      <c r="P6" s="6" t="s">
        <v>17</v>
      </c>
      <c r="Q6" s="4"/>
      <c r="R6" s="4"/>
      <c r="S6" s="4"/>
      <c r="T6" s="4"/>
    </row>
    <row r="7" spans="1:20">
      <c r="A7" s="40"/>
      <c r="B7" s="7"/>
      <c r="C7" s="7"/>
      <c r="D7" s="86"/>
      <c r="E7" s="7"/>
      <c r="F7" s="7"/>
      <c r="G7" s="81"/>
      <c r="H7" s="58"/>
      <c r="I7" s="59"/>
      <c r="J7" s="60"/>
      <c r="K7" s="61"/>
      <c r="L7" s="156"/>
      <c r="M7" s="7"/>
      <c r="N7" s="7"/>
      <c r="O7" s="7"/>
      <c r="P7" s="7"/>
      <c r="Q7" s="7"/>
    </row>
    <row r="8" spans="1:20">
      <c r="A8" s="40">
        <v>1</v>
      </c>
      <c r="B8" s="7" t="s">
        <v>50</v>
      </c>
      <c r="C8" s="7" t="s">
        <v>117</v>
      </c>
      <c r="D8" s="86">
        <v>1</v>
      </c>
      <c r="E8" s="7" t="s">
        <v>48</v>
      </c>
      <c r="F8" s="32" t="s">
        <v>56</v>
      </c>
      <c r="G8" s="81">
        <v>1</v>
      </c>
      <c r="H8" s="58">
        <v>88500</v>
      </c>
      <c r="I8" s="59">
        <v>88500</v>
      </c>
      <c r="J8" s="60">
        <v>11505</v>
      </c>
      <c r="K8" s="62">
        <v>100005</v>
      </c>
      <c r="L8" s="157">
        <v>100005</v>
      </c>
      <c r="M8" s="7"/>
      <c r="N8" s="7"/>
      <c r="O8" s="38"/>
      <c r="P8" s="7"/>
      <c r="Q8" s="7"/>
    </row>
    <row r="9" spans="1:20" s="9" customFormat="1">
      <c r="A9" s="41"/>
      <c r="B9" s="8"/>
      <c r="C9" s="8"/>
      <c r="D9" s="87"/>
      <c r="E9" s="8" t="s">
        <v>49</v>
      </c>
      <c r="F9" s="8"/>
      <c r="G9" s="82"/>
      <c r="H9" s="64"/>
      <c r="I9" s="65"/>
      <c r="J9" s="66"/>
      <c r="K9" s="62"/>
      <c r="L9" s="157"/>
      <c r="M9" s="8"/>
      <c r="N9" s="8"/>
      <c r="O9" s="8"/>
      <c r="P9" s="8"/>
      <c r="Q9" s="8"/>
    </row>
    <row r="10" spans="1:20">
      <c r="A10" s="40"/>
      <c r="B10" s="7"/>
      <c r="C10" s="7"/>
      <c r="D10" s="86"/>
      <c r="E10" s="7"/>
      <c r="F10" s="7"/>
      <c r="G10" s="81"/>
      <c r="H10" s="58"/>
      <c r="I10" s="59"/>
      <c r="J10" s="60"/>
      <c r="K10" s="62"/>
      <c r="L10" s="156"/>
      <c r="M10" s="7"/>
      <c r="N10" s="7"/>
      <c r="O10" s="7"/>
      <c r="P10" s="7"/>
      <c r="Q10" s="7"/>
    </row>
    <row r="11" spans="1:20">
      <c r="A11" s="40">
        <v>2</v>
      </c>
      <c r="B11" s="7" t="s">
        <v>102</v>
      </c>
      <c r="C11" s="7" t="s">
        <v>103</v>
      </c>
      <c r="D11" s="86">
        <v>10</v>
      </c>
      <c r="E11" s="7" t="s">
        <v>52</v>
      </c>
      <c r="F11" s="32" t="s">
        <v>53</v>
      </c>
      <c r="G11" s="81">
        <v>1</v>
      </c>
      <c r="H11" s="58">
        <v>176992</v>
      </c>
      <c r="I11" s="59">
        <f>H11*G11</f>
        <v>176992</v>
      </c>
      <c r="J11" s="60">
        <f>I11*13%</f>
        <v>23008.959999999999</v>
      </c>
      <c r="K11" s="62">
        <f>J11+I11</f>
        <v>200000.96</v>
      </c>
      <c r="L11" s="158">
        <v>200000</v>
      </c>
      <c r="M11" s="7"/>
      <c r="N11" s="7"/>
      <c r="O11" s="8"/>
      <c r="P11" s="7"/>
      <c r="Q11" s="7"/>
    </row>
    <row r="12" spans="1:20" s="9" customFormat="1">
      <c r="A12" s="41"/>
      <c r="B12" s="8"/>
      <c r="C12" s="8"/>
      <c r="D12" s="87"/>
      <c r="E12" s="8"/>
      <c r="F12" s="8" t="s">
        <v>72</v>
      </c>
      <c r="G12" s="82"/>
      <c r="H12" s="64"/>
      <c r="I12" s="59"/>
      <c r="J12" s="60"/>
      <c r="K12" s="62"/>
      <c r="L12" s="158"/>
      <c r="M12" s="8"/>
      <c r="N12" s="8"/>
      <c r="O12" s="8"/>
      <c r="P12" s="32"/>
      <c r="Q12" s="8"/>
    </row>
    <row r="13" spans="1:20">
      <c r="A13" s="40"/>
      <c r="B13" s="7"/>
      <c r="C13" s="7"/>
      <c r="D13" s="86"/>
      <c r="E13" s="7"/>
      <c r="F13" s="7"/>
      <c r="G13" s="81"/>
      <c r="H13" s="58"/>
      <c r="I13" s="59"/>
      <c r="J13" s="60"/>
      <c r="K13" s="62"/>
      <c r="L13" s="158"/>
      <c r="M13" s="7"/>
      <c r="N13" s="7"/>
      <c r="O13" s="7"/>
      <c r="P13" s="7"/>
      <c r="Q13" s="7"/>
    </row>
    <row r="14" spans="1:20">
      <c r="A14" s="40">
        <v>3</v>
      </c>
      <c r="B14" s="7" t="s">
        <v>54</v>
      </c>
      <c r="C14" s="7" t="s">
        <v>118</v>
      </c>
      <c r="D14" s="86" t="s">
        <v>57</v>
      </c>
      <c r="E14" s="7" t="s">
        <v>55</v>
      </c>
      <c r="F14" s="7" t="s">
        <v>70</v>
      </c>
      <c r="G14" s="81">
        <v>1</v>
      </c>
      <c r="H14" s="58">
        <v>200000</v>
      </c>
      <c r="I14" s="59">
        <v>200000</v>
      </c>
      <c r="J14" s="60" t="s">
        <v>64</v>
      </c>
      <c r="K14" s="62"/>
      <c r="L14" s="158">
        <v>200000</v>
      </c>
      <c r="M14" s="7"/>
      <c r="N14" s="32"/>
      <c r="O14" s="7"/>
      <c r="P14" s="7"/>
      <c r="Q14" s="7" t="s">
        <v>161</v>
      </c>
    </row>
    <row r="15" spans="1:20">
      <c r="A15" s="40"/>
      <c r="B15" s="7"/>
      <c r="C15" s="7"/>
      <c r="D15" s="86"/>
      <c r="E15" s="7"/>
      <c r="F15" s="7"/>
      <c r="G15" s="81"/>
      <c r="H15" s="58"/>
      <c r="I15" s="59"/>
      <c r="J15" s="60"/>
      <c r="K15" s="62"/>
      <c r="L15" s="156"/>
      <c r="M15" s="7"/>
      <c r="N15" s="7"/>
      <c r="O15" s="7"/>
      <c r="P15" s="7"/>
      <c r="Q15" s="7"/>
    </row>
    <row r="16" spans="1:20">
      <c r="A16" s="40"/>
      <c r="B16" s="7" t="s">
        <v>147</v>
      </c>
      <c r="C16" s="7" t="s">
        <v>146</v>
      </c>
      <c r="D16" s="86">
        <v>19</v>
      </c>
      <c r="E16" s="7" t="s">
        <v>162</v>
      </c>
      <c r="F16" s="151" t="s">
        <v>69</v>
      </c>
      <c r="G16" s="81">
        <v>1</v>
      </c>
      <c r="H16" s="58">
        <v>150000</v>
      </c>
      <c r="I16" s="59">
        <v>150000</v>
      </c>
      <c r="J16" s="60">
        <f>I16*13%</f>
        <v>19500</v>
      </c>
      <c r="K16" s="62">
        <f>J16+I16</f>
        <v>169500</v>
      </c>
      <c r="L16" s="156">
        <v>169500</v>
      </c>
      <c r="M16" s="7"/>
      <c r="N16" s="7"/>
      <c r="O16" s="7"/>
      <c r="P16" s="32"/>
      <c r="Q16" s="7" t="s">
        <v>73</v>
      </c>
    </row>
    <row r="17" spans="1:17">
      <c r="A17" s="40"/>
      <c r="B17" s="7"/>
      <c r="C17" s="7"/>
      <c r="D17" s="86"/>
      <c r="E17" s="7"/>
      <c r="F17" s="7"/>
      <c r="G17" s="81"/>
      <c r="H17" s="58"/>
      <c r="I17" s="59"/>
      <c r="J17" s="60">
        <f t="shared" ref="J17:J18" si="0">I17*13%</f>
        <v>0</v>
      </c>
      <c r="K17" s="62">
        <f t="shared" ref="K17:K18" si="1">J17+I17</f>
        <v>0</v>
      </c>
      <c r="L17" s="158"/>
      <c r="M17" s="7"/>
      <c r="N17" s="7"/>
      <c r="O17" s="7"/>
      <c r="P17" s="7"/>
      <c r="Q17" s="7"/>
    </row>
    <row r="18" spans="1:17">
      <c r="A18" s="40"/>
      <c r="B18" s="7"/>
      <c r="C18" s="7"/>
      <c r="D18" s="86" t="s">
        <v>57</v>
      </c>
      <c r="E18" s="7" t="s">
        <v>48</v>
      </c>
      <c r="F18" s="7" t="s">
        <v>65</v>
      </c>
      <c r="G18" s="81">
        <v>1</v>
      </c>
      <c r="H18" s="58">
        <v>154867.25</v>
      </c>
      <c r="I18" s="59">
        <v>154867.25</v>
      </c>
      <c r="J18" s="79">
        <f t="shared" si="0"/>
        <v>20132.7425</v>
      </c>
      <c r="K18" s="62">
        <f t="shared" si="1"/>
        <v>174999.99249999999</v>
      </c>
      <c r="L18" s="158">
        <v>175000</v>
      </c>
      <c r="M18" s="7"/>
      <c r="N18" s="32"/>
      <c r="O18" s="7"/>
      <c r="P18" s="8"/>
      <c r="Q18" s="7" t="s">
        <v>66</v>
      </c>
    </row>
    <row r="19" spans="1:17">
      <c r="A19" s="40"/>
      <c r="B19" s="7"/>
      <c r="C19" s="7"/>
      <c r="D19" s="86"/>
      <c r="E19" s="8" t="s">
        <v>49</v>
      </c>
      <c r="F19" s="7"/>
      <c r="G19" s="81"/>
      <c r="H19" s="58"/>
      <c r="I19" s="59"/>
      <c r="J19" s="60"/>
      <c r="K19" s="62"/>
      <c r="L19" s="158"/>
      <c r="M19" s="7"/>
      <c r="N19" s="7"/>
      <c r="O19" s="7"/>
      <c r="P19" s="7"/>
      <c r="Q19" s="7" t="s">
        <v>71</v>
      </c>
    </row>
    <row r="20" spans="1:17">
      <c r="A20" s="40"/>
      <c r="B20" s="7"/>
      <c r="C20" s="7"/>
      <c r="D20" s="86"/>
      <c r="E20" s="7"/>
      <c r="F20" s="7"/>
      <c r="G20" s="81"/>
      <c r="H20" s="58"/>
      <c r="I20" s="59"/>
      <c r="J20" s="60"/>
      <c r="K20" s="62"/>
      <c r="L20" s="158"/>
      <c r="M20" s="7"/>
      <c r="N20" s="7"/>
      <c r="O20" s="7"/>
      <c r="P20" s="7"/>
      <c r="Q20" s="7"/>
    </row>
    <row r="21" spans="1:17">
      <c r="A21" s="40"/>
      <c r="B21" s="7"/>
      <c r="C21" s="7"/>
      <c r="D21" s="86" t="s">
        <v>57</v>
      </c>
      <c r="E21" s="7" t="s">
        <v>48</v>
      </c>
      <c r="F21" s="7" t="s">
        <v>67</v>
      </c>
      <c r="G21" s="81">
        <v>4</v>
      </c>
      <c r="H21" s="58">
        <v>5000</v>
      </c>
      <c r="I21" s="59">
        <f>H21*G21</f>
        <v>20000</v>
      </c>
      <c r="J21" s="60">
        <v>0</v>
      </c>
      <c r="K21" s="141">
        <v>27000</v>
      </c>
      <c r="L21" s="157">
        <v>27000</v>
      </c>
      <c r="M21" s="7"/>
      <c r="N21" s="7"/>
      <c r="O21" s="7"/>
      <c r="P21" s="7"/>
      <c r="Q21" s="7"/>
    </row>
    <row r="22" spans="1:17">
      <c r="A22" s="40"/>
      <c r="B22" s="7"/>
      <c r="C22" s="7"/>
      <c r="D22" s="86"/>
      <c r="E22" s="8" t="s">
        <v>49</v>
      </c>
      <c r="F22" s="7" t="s">
        <v>68</v>
      </c>
      <c r="G22" s="81">
        <v>1</v>
      </c>
      <c r="H22" s="58">
        <v>7000</v>
      </c>
      <c r="I22" s="59">
        <f>H22*G22</f>
        <v>7000</v>
      </c>
      <c r="J22" s="60">
        <v>0</v>
      </c>
      <c r="K22" s="141"/>
      <c r="L22" s="157"/>
      <c r="M22" s="7"/>
      <c r="N22" s="7"/>
      <c r="O22" s="32"/>
      <c r="P22" s="7"/>
      <c r="Q22" s="7"/>
    </row>
    <row r="23" spans="1:17">
      <c r="A23" s="40"/>
      <c r="B23" s="7"/>
      <c r="C23" s="7"/>
      <c r="D23" s="86"/>
      <c r="E23" s="7"/>
      <c r="F23" s="27"/>
      <c r="G23" s="81"/>
      <c r="H23" s="58"/>
      <c r="I23" s="59">
        <f t="shared" ref="I23:I63" si="2">H23*G23</f>
        <v>0</v>
      </c>
      <c r="J23" s="60"/>
      <c r="K23" s="62"/>
      <c r="L23" s="156"/>
      <c r="M23" s="7"/>
      <c r="N23" s="7"/>
      <c r="O23" s="7"/>
      <c r="P23" s="7"/>
      <c r="Q23" s="7"/>
    </row>
    <row r="24" spans="1:17">
      <c r="A24" s="40"/>
      <c r="B24" s="7" t="s">
        <v>82</v>
      </c>
      <c r="C24" s="7" t="s">
        <v>77</v>
      </c>
      <c r="D24" s="86" t="s">
        <v>57</v>
      </c>
      <c r="E24" s="7" t="s">
        <v>78</v>
      </c>
      <c r="F24" s="27"/>
      <c r="G24" s="81"/>
      <c r="H24" s="58"/>
      <c r="I24" s="59">
        <f t="shared" si="2"/>
        <v>0</v>
      </c>
      <c r="J24" s="60"/>
      <c r="K24" s="62"/>
      <c r="L24" s="156">
        <v>3390</v>
      </c>
      <c r="M24" s="7"/>
      <c r="N24" s="7"/>
      <c r="O24" s="7"/>
      <c r="P24" s="7"/>
      <c r="Q24" s="7" t="s">
        <v>164</v>
      </c>
    </row>
    <row r="25" spans="1:17">
      <c r="A25" s="40"/>
      <c r="B25" s="7"/>
      <c r="C25" s="7"/>
      <c r="D25" s="86"/>
      <c r="E25" s="7"/>
      <c r="F25" s="27"/>
      <c r="G25" s="81"/>
      <c r="H25" s="58"/>
      <c r="I25" s="59">
        <f t="shared" si="2"/>
        <v>0</v>
      </c>
      <c r="J25" s="60"/>
      <c r="K25" s="62"/>
      <c r="L25" s="156"/>
      <c r="M25" s="7"/>
      <c r="N25" s="7"/>
      <c r="O25" s="7"/>
      <c r="P25" s="7"/>
      <c r="Q25" s="7"/>
    </row>
    <row r="26" spans="1:17">
      <c r="A26" s="40"/>
      <c r="B26" s="7"/>
      <c r="C26" s="7"/>
      <c r="D26" s="86"/>
      <c r="E26" s="7"/>
      <c r="F26" s="27"/>
      <c r="G26" s="81"/>
      <c r="H26" s="58"/>
      <c r="I26" s="59">
        <f t="shared" si="2"/>
        <v>0</v>
      </c>
      <c r="J26" s="60"/>
      <c r="K26" s="62"/>
      <c r="L26" s="156"/>
      <c r="M26" s="7"/>
      <c r="N26" s="7"/>
      <c r="O26" s="7"/>
      <c r="P26" s="7"/>
      <c r="Q26" s="7"/>
    </row>
    <row r="27" spans="1:17">
      <c r="A27" s="40"/>
      <c r="B27" s="7" t="s">
        <v>81</v>
      </c>
      <c r="C27" s="7" t="s">
        <v>74</v>
      </c>
      <c r="D27" s="86" t="s">
        <v>57</v>
      </c>
      <c r="E27" s="39" t="s">
        <v>79</v>
      </c>
      <c r="F27" s="39" t="s">
        <v>76</v>
      </c>
      <c r="G27" s="81"/>
      <c r="H27" s="58"/>
      <c r="I27" s="59">
        <f t="shared" si="2"/>
        <v>0</v>
      </c>
      <c r="J27" s="60"/>
      <c r="K27" s="62"/>
      <c r="L27" s="157">
        <v>3700</v>
      </c>
      <c r="M27" s="7"/>
      <c r="N27" s="7"/>
      <c r="O27" s="7"/>
      <c r="P27" s="7"/>
      <c r="Q27" s="7"/>
    </row>
    <row r="28" spans="1:17">
      <c r="A28" s="40"/>
      <c r="B28" s="7"/>
      <c r="C28" s="7"/>
      <c r="D28" s="86"/>
      <c r="E28" s="27"/>
      <c r="F28" s="27" t="s">
        <v>75</v>
      </c>
      <c r="G28" s="81"/>
      <c r="H28" s="58"/>
      <c r="I28" s="59">
        <f t="shared" si="2"/>
        <v>0</v>
      </c>
      <c r="J28" s="60"/>
      <c r="K28" s="62"/>
      <c r="L28" s="157"/>
      <c r="M28" s="7"/>
      <c r="N28" s="32"/>
      <c r="O28" s="7"/>
      <c r="P28" s="7"/>
      <c r="Q28" s="7"/>
    </row>
    <row r="29" spans="1:17">
      <c r="A29" s="7"/>
      <c r="B29" s="7"/>
      <c r="C29" s="7"/>
      <c r="D29" s="86"/>
      <c r="E29" s="7"/>
      <c r="F29" s="7"/>
      <c r="G29" s="81"/>
      <c r="H29" s="58"/>
      <c r="I29" s="59">
        <f t="shared" si="2"/>
        <v>0</v>
      </c>
      <c r="J29" s="60"/>
      <c r="K29" s="67"/>
      <c r="L29" s="156"/>
      <c r="M29" s="7"/>
      <c r="N29" s="7"/>
      <c r="O29" s="7"/>
      <c r="P29" s="7"/>
      <c r="Q29" s="7"/>
    </row>
    <row r="30" spans="1:17">
      <c r="A30" s="7"/>
      <c r="B30" s="7" t="s">
        <v>83</v>
      </c>
      <c r="C30" s="7" t="s">
        <v>84</v>
      </c>
      <c r="D30" s="86">
        <v>5</v>
      </c>
      <c r="E30" s="7" t="s">
        <v>86</v>
      </c>
      <c r="F30" s="7" t="s">
        <v>87</v>
      </c>
      <c r="G30" s="81">
        <v>1</v>
      </c>
      <c r="H30" s="58">
        <v>55000</v>
      </c>
      <c r="I30" s="59">
        <f t="shared" si="2"/>
        <v>55000</v>
      </c>
      <c r="J30" s="60">
        <f>I30*13%</f>
        <v>7150</v>
      </c>
      <c r="K30" s="67">
        <f>J30+I30</f>
        <v>62150</v>
      </c>
      <c r="L30" s="159">
        <f>K30+K31+K32</f>
        <v>181930</v>
      </c>
      <c r="M30" s="7"/>
      <c r="N30" s="7"/>
      <c r="O30" s="7"/>
      <c r="P30" s="7"/>
      <c r="Q30" s="7"/>
    </row>
    <row r="31" spans="1:17">
      <c r="A31" s="7"/>
      <c r="B31" s="7"/>
      <c r="C31" s="7"/>
      <c r="D31" s="86"/>
      <c r="E31" s="7"/>
      <c r="F31" s="7" t="s">
        <v>88</v>
      </c>
      <c r="G31" s="81">
        <v>1</v>
      </c>
      <c r="H31" s="58">
        <v>2000</v>
      </c>
      <c r="I31" s="59">
        <f t="shared" si="2"/>
        <v>2000</v>
      </c>
      <c r="J31" s="60">
        <f t="shared" ref="J31:J62" si="3">I31*13%</f>
        <v>260</v>
      </c>
      <c r="K31" s="67">
        <f t="shared" ref="K31:K62" si="4">J31+I31</f>
        <v>2260</v>
      </c>
      <c r="L31" s="160"/>
      <c r="M31" s="7"/>
      <c r="N31" s="7"/>
      <c r="O31" s="7"/>
      <c r="P31" s="7"/>
      <c r="Q31" s="7"/>
    </row>
    <row r="32" spans="1:17">
      <c r="A32" s="7"/>
      <c r="B32" s="7"/>
      <c r="C32" s="7"/>
      <c r="D32" s="86"/>
      <c r="E32" s="7"/>
      <c r="F32" s="7" t="s">
        <v>89</v>
      </c>
      <c r="G32" s="81">
        <v>2</v>
      </c>
      <c r="H32" s="58">
        <v>52000</v>
      </c>
      <c r="I32" s="59">
        <f t="shared" si="2"/>
        <v>104000</v>
      </c>
      <c r="J32" s="60">
        <f t="shared" si="3"/>
        <v>13520</v>
      </c>
      <c r="K32" s="67">
        <f t="shared" si="4"/>
        <v>117520</v>
      </c>
      <c r="L32" s="161"/>
      <c r="M32" s="7"/>
      <c r="N32" s="7"/>
      <c r="O32" s="7"/>
      <c r="P32" s="7"/>
      <c r="Q32" s="7"/>
    </row>
    <row r="33" spans="1:17">
      <c r="A33" s="7"/>
      <c r="B33" s="7"/>
      <c r="C33" s="7"/>
      <c r="D33" s="86"/>
      <c r="E33" s="7"/>
      <c r="F33" s="7"/>
      <c r="G33" s="81"/>
      <c r="H33" s="58"/>
      <c r="I33" s="59">
        <f t="shared" si="2"/>
        <v>0</v>
      </c>
      <c r="J33" s="60">
        <f t="shared" si="3"/>
        <v>0</v>
      </c>
      <c r="K33" s="67">
        <f t="shared" si="4"/>
        <v>0</v>
      </c>
      <c r="L33" s="156"/>
      <c r="M33" s="7"/>
      <c r="N33" s="7"/>
      <c r="O33" s="7"/>
      <c r="P33" s="7"/>
      <c r="Q33" s="7"/>
    </row>
    <row r="34" spans="1:17">
      <c r="A34" s="7"/>
      <c r="B34" s="7" t="s">
        <v>90</v>
      </c>
      <c r="C34" s="7" t="s">
        <v>91</v>
      </c>
      <c r="D34" s="86">
        <v>6</v>
      </c>
      <c r="E34" s="7" t="s">
        <v>92</v>
      </c>
      <c r="F34" s="7" t="s">
        <v>93</v>
      </c>
      <c r="G34" s="81">
        <v>1</v>
      </c>
      <c r="H34" s="58">
        <v>52000</v>
      </c>
      <c r="I34" s="59">
        <f t="shared" si="2"/>
        <v>52000</v>
      </c>
      <c r="J34" s="60">
        <f t="shared" si="3"/>
        <v>6760</v>
      </c>
      <c r="K34" s="67">
        <f t="shared" si="4"/>
        <v>58760</v>
      </c>
      <c r="L34" s="158">
        <f>K34</f>
        <v>58760</v>
      </c>
      <c r="M34" s="7"/>
      <c r="N34" s="7"/>
      <c r="O34" s="7"/>
      <c r="P34" s="7"/>
      <c r="Q34" s="7"/>
    </row>
    <row r="35" spans="1:17">
      <c r="A35" s="7"/>
      <c r="B35" s="7"/>
      <c r="C35" s="7"/>
      <c r="D35" s="86"/>
      <c r="E35" s="7"/>
      <c r="F35" s="7"/>
      <c r="G35" s="81"/>
      <c r="H35" s="58"/>
      <c r="I35" s="59">
        <f t="shared" si="2"/>
        <v>0</v>
      </c>
      <c r="J35" s="60">
        <f t="shared" si="3"/>
        <v>0</v>
      </c>
      <c r="K35" s="67">
        <f t="shared" si="4"/>
        <v>0</v>
      </c>
      <c r="L35" s="158">
        <f t="shared" ref="L35:L38" si="5">K35</f>
        <v>0</v>
      </c>
      <c r="M35" s="7"/>
      <c r="N35" s="7"/>
      <c r="O35" s="7"/>
      <c r="P35" s="7"/>
      <c r="Q35" s="7"/>
    </row>
    <row r="36" spans="1:17">
      <c r="A36" s="7"/>
      <c r="B36" s="7" t="s">
        <v>90</v>
      </c>
      <c r="C36" s="7" t="s">
        <v>91</v>
      </c>
      <c r="D36" s="86">
        <v>7</v>
      </c>
      <c r="E36" s="7" t="s">
        <v>92</v>
      </c>
      <c r="F36" s="7" t="s">
        <v>94</v>
      </c>
      <c r="G36" s="81">
        <v>1</v>
      </c>
      <c r="H36" s="58">
        <v>52000</v>
      </c>
      <c r="I36" s="59">
        <f t="shared" si="2"/>
        <v>52000</v>
      </c>
      <c r="J36" s="60">
        <f t="shared" si="3"/>
        <v>6760</v>
      </c>
      <c r="K36" s="67">
        <f t="shared" si="4"/>
        <v>58760</v>
      </c>
      <c r="L36" s="158">
        <f t="shared" si="5"/>
        <v>58760</v>
      </c>
      <c r="M36" s="7"/>
      <c r="N36" s="7"/>
      <c r="O36" s="7"/>
      <c r="P36" s="7"/>
      <c r="Q36" s="7"/>
    </row>
    <row r="37" spans="1:17">
      <c r="A37" s="7"/>
      <c r="B37" s="7"/>
      <c r="C37" s="7"/>
      <c r="D37" s="86"/>
      <c r="E37" s="7"/>
      <c r="F37" s="7"/>
      <c r="G37" s="81"/>
      <c r="H37" s="58"/>
      <c r="I37" s="59">
        <f t="shared" si="2"/>
        <v>0</v>
      </c>
      <c r="J37" s="60">
        <f t="shared" si="3"/>
        <v>0</v>
      </c>
      <c r="K37" s="67">
        <f t="shared" si="4"/>
        <v>0</v>
      </c>
      <c r="L37" s="158">
        <f t="shared" si="5"/>
        <v>0</v>
      </c>
      <c r="M37" s="7"/>
      <c r="N37" s="7"/>
      <c r="O37" s="7"/>
      <c r="P37" s="7"/>
      <c r="Q37" s="7"/>
    </row>
    <row r="38" spans="1:17">
      <c r="A38" s="7"/>
      <c r="B38" s="7" t="s">
        <v>95</v>
      </c>
      <c r="C38" s="7" t="s">
        <v>96</v>
      </c>
      <c r="D38" s="86">
        <v>8</v>
      </c>
      <c r="E38" s="7" t="s">
        <v>92</v>
      </c>
      <c r="F38" s="7" t="s">
        <v>94</v>
      </c>
      <c r="G38" s="81">
        <v>1</v>
      </c>
      <c r="H38" s="58">
        <v>52000</v>
      </c>
      <c r="I38" s="59">
        <f t="shared" si="2"/>
        <v>52000</v>
      </c>
      <c r="J38" s="60">
        <f t="shared" si="3"/>
        <v>6760</v>
      </c>
      <c r="K38" s="67">
        <f t="shared" si="4"/>
        <v>58760</v>
      </c>
      <c r="L38" s="158">
        <f t="shared" si="5"/>
        <v>58760</v>
      </c>
      <c r="M38" s="7"/>
      <c r="N38" s="7"/>
      <c r="O38" s="7"/>
      <c r="P38" s="7"/>
      <c r="Q38" s="7"/>
    </row>
    <row r="39" spans="1:17">
      <c r="A39" s="7"/>
      <c r="B39" s="7"/>
      <c r="C39" s="7"/>
      <c r="D39" s="86"/>
      <c r="E39" s="7"/>
      <c r="F39" s="7"/>
      <c r="G39" s="81"/>
      <c r="H39" s="58"/>
      <c r="I39" s="59">
        <f t="shared" si="2"/>
        <v>0</v>
      </c>
      <c r="J39" s="60">
        <f t="shared" si="3"/>
        <v>0</v>
      </c>
      <c r="K39" s="67">
        <f t="shared" si="4"/>
        <v>0</v>
      </c>
      <c r="L39" s="162"/>
      <c r="M39" s="7"/>
      <c r="N39" s="7"/>
      <c r="O39" s="7"/>
      <c r="P39" s="7"/>
      <c r="Q39" s="7"/>
    </row>
    <row r="40" spans="1:17">
      <c r="A40" s="7"/>
      <c r="B40" s="7" t="s">
        <v>97</v>
      </c>
      <c r="C40" s="7" t="s">
        <v>98</v>
      </c>
      <c r="D40" s="86">
        <v>9</v>
      </c>
      <c r="E40" s="7" t="s">
        <v>99</v>
      </c>
      <c r="F40" s="7" t="s">
        <v>100</v>
      </c>
      <c r="G40" s="81">
        <v>1</v>
      </c>
      <c r="H40" s="58">
        <v>26500</v>
      </c>
      <c r="I40" s="59">
        <f t="shared" si="2"/>
        <v>26500</v>
      </c>
      <c r="J40" s="60">
        <f t="shared" si="3"/>
        <v>3445</v>
      </c>
      <c r="K40" s="67">
        <f t="shared" si="4"/>
        <v>29945</v>
      </c>
      <c r="L40" s="159">
        <f>K40+K41</f>
        <v>48590</v>
      </c>
      <c r="M40" s="7"/>
      <c r="N40" s="7"/>
      <c r="O40" s="7"/>
      <c r="P40" s="7"/>
      <c r="Q40" s="7"/>
    </row>
    <row r="41" spans="1:17">
      <c r="A41" s="7"/>
      <c r="B41" s="7"/>
      <c r="C41" s="7"/>
      <c r="D41" s="86"/>
      <c r="E41" s="7"/>
      <c r="F41" s="7" t="s">
        <v>101</v>
      </c>
      <c r="G41" s="81">
        <v>1</v>
      </c>
      <c r="H41" s="58">
        <v>16500</v>
      </c>
      <c r="I41" s="59">
        <f t="shared" si="2"/>
        <v>16500</v>
      </c>
      <c r="J41" s="60">
        <f t="shared" si="3"/>
        <v>2145</v>
      </c>
      <c r="K41" s="67">
        <f t="shared" si="4"/>
        <v>18645</v>
      </c>
      <c r="L41" s="161"/>
      <c r="M41" s="7"/>
      <c r="N41" s="7"/>
      <c r="O41" s="7"/>
      <c r="P41" s="7"/>
      <c r="Q41" s="7"/>
    </row>
    <row r="42" spans="1:17">
      <c r="A42" s="7"/>
      <c r="B42" s="7"/>
      <c r="C42" s="7"/>
      <c r="D42" s="86"/>
      <c r="E42" s="7"/>
      <c r="F42" s="7"/>
      <c r="G42" s="81"/>
      <c r="H42" s="58"/>
      <c r="I42" s="59">
        <f t="shared" si="2"/>
        <v>0</v>
      </c>
      <c r="J42" s="60">
        <f t="shared" si="3"/>
        <v>0</v>
      </c>
      <c r="K42" s="67">
        <f t="shared" si="4"/>
        <v>0</v>
      </c>
      <c r="L42" s="157"/>
      <c r="M42" s="7"/>
      <c r="N42" s="7"/>
      <c r="O42" s="7"/>
      <c r="P42" s="7"/>
      <c r="Q42" s="7"/>
    </row>
    <row r="43" spans="1:17">
      <c r="A43" s="7"/>
      <c r="B43" s="7"/>
      <c r="C43" s="7"/>
      <c r="D43" s="86"/>
      <c r="E43" s="7"/>
      <c r="F43" s="7"/>
      <c r="G43" s="81"/>
      <c r="H43" s="58"/>
      <c r="I43" s="59">
        <f t="shared" si="2"/>
        <v>0</v>
      </c>
      <c r="J43" s="60">
        <f t="shared" si="3"/>
        <v>0</v>
      </c>
      <c r="K43" s="67">
        <f t="shared" si="4"/>
        <v>0</v>
      </c>
      <c r="L43" s="157"/>
      <c r="M43" s="7"/>
      <c r="N43" s="7"/>
      <c r="O43" s="7"/>
      <c r="P43" s="7"/>
      <c r="Q43" s="7"/>
    </row>
    <row r="44" spans="1:17">
      <c r="A44" s="7"/>
      <c r="B44" s="74" t="s">
        <v>102</v>
      </c>
      <c r="C44" s="74" t="s">
        <v>103</v>
      </c>
      <c r="D44" s="88">
        <v>12</v>
      </c>
      <c r="E44" s="74" t="s">
        <v>92</v>
      </c>
      <c r="F44" s="74" t="s">
        <v>94</v>
      </c>
      <c r="G44" s="83">
        <v>1</v>
      </c>
      <c r="H44" s="75">
        <v>52000</v>
      </c>
      <c r="I44" s="76">
        <f t="shared" si="2"/>
        <v>52000</v>
      </c>
      <c r="J44" s="77">
        <f t="shared" si="3"/>
        <v>6760</v>
      </c>
      <c r="K44" s="78">
        <f t="shared" si="4"/>
        <v>58760</v>
      </c>
      <c r="L44" s="163"/>
      <c r="M44" s="7"/>
      <c r="N44" s="7"/>
      <c r="O44" s="7"/>
      <c r="P44" s="7"/>
      <c r="Q44" s="7"/>
    </row>
    <row r="45" spans="1:17">
      <c r="A45" s="7"/>
      <c r="B45" s="7"/>
      <c r="C45" s="7"/>
      <c r="D45" s="86"/>
      <c r="E45" s="7"/>
      <c r="F45" s="7"/>
      <c r="G45" s="81"/>
      <c r="H45" s="58"/>
      <c r="I45" s="59">
        <f t="shared" si="2"/>
        <v>0</v>
      </c>
      <c r="J45" s="60">
        <f t="shared" si="3"/>
        <v>0</v>
      </c>
      <c r="K45" s="67">
        <f t="shared" si="4"/>
        <v>0</v>
      </c>
      <c r="L45" s="156"/>
      <c r="M45" s="7"/>
      <c r="N45" s="7"/>
      <c r="O45" s="7"/>
      <c r="P45" s="7"/>
      <c r="Q45" s="7"/>
    </row>
    <row r="46" spans="1:17">
      <c r="A46" s="7"/>
      <c r="B46" s="7" t="s">
        <v>102</v>
      </c>
      <c r="C46" s="7" t="s">
        <v>103</v>
      </c>
      <c r="D46" s="86">
        <v>13</v>
      </c>
      <c r="E46" s="7" t="s">
        <v>92</v>
      </c>
      <c r="F46" s="7" t="s">
        <v>104</v>
      </c>
      <c r="G46" s="81">
        <v>1</v>
      </c>
      <c r="H46" s="58">
        <v>180000</v>
      </c>
      <c r="I46" s="59">
        <f t="shared" si="2"/>
        <v>180000</v>
      </c>
      <c r="J46" s="60">
        <f t="shared" si="3"/>
        <v>23400</v>
      </c>
      <c r="K46" s="67">
        <f t="shared" si="4"/>
        <v>203400</v>
      </c>
      <c r="L46" s="159">
        <f>K46+K47</f>
        <v>406800</v>
      </c>
      <c r="M46" s="7"/>
      <c r="N46" s="7"/>
      <c r="O46" s="7"/>
      <c r="P46" s="7"/>
      <c r="Q46" s="7"/>
    </row>
    <row r="47" spans="1:17">
      <c r="A47" s="7"/>
      <c r="B47" s="7"/>
      <c r="C47" s="7"/>
      <c r="D47" s="86"/>
      <c r="E47" s="7"/>
      <c r="F47" s="7" t="s">
        <v>105</v>
      </c>
      <c r="G47" s="81">
        <v>1</v>
      </c>
      <c r="H47" s="58">
        <v>180000</v>
      </c>
      <c r="I47" s="59">
        <f t="shared" si="2"/>
        <v>180000</v>
      </c>
      <c r="J47" s="60">
        <f t="shared" si="3"/>
        <v>23400</v>
      </c>
      <c r="K47" s="67">
        <f t="shared" si="4"/>
        <v>203400</v>
      </c>
      <c r="L47" s="161"/>
      <c r="M47" s="7"/>
      <c r="N47" s="7"/>
      <c r="O47" s="7"/>
      <c r="P47" s="7"/>
      <c r="Q47" s="7"/>
    </row>
    <row r="48" spans="1:17">
      <c r="A48" s="7"/>
      <c r="B48" s="7"/>
      <c r="C48" s="7"/>
      <c r="D48" s="86"/>
      <c r="E48" s="7"/>
      <c r="F48" s="7"/>
      <c r="G48" s="81"/>
      <c r="H48" s="58"/>
      <c r="I48" s="59">
        <f t="shared" si="2"/>
        <v>0</v>
      </c>
      <c r="J48" s="63">
        <f t="shared" si="3"/>
        <v>0</v>
      </c>
      <c r="K48" s="67">
        <f t="shared" si="4"/>
        <v>0</v>
      </c>
      <c r="L48" s="156"/>
      <c r="M48" s="7"/>
      <c r="N48" s="7"/>
      <c r="O48" s="7"/>
      <c r="P48" s="7"/>
      <c r="Q48" s="7"/>
    </row>
    <row r="49" spans="1:17" ht="16.5" thickBot="1">
      <c r="A49" s="7"/>
      <c r="B49" s="7" t="s">
        <v>106</v>
      </c>
      <c r="C49" s="7" t="s">
        <v>107</v>
      </c>
      <c r="D49" s="86" t="s">
        <v>57</v>
      </c>
      <c r="E49" s="7" t="s">
        <v>109</v>
      </c>
      <c r="F49" s="7" t="s">
        <v>108</v>
      </c>
      <c r="G49" s="81">
        <v>1</v>
      </c>
      <c r="H49" s="58">
        <v>175000</v>
      </c>
      <c r="I49" s="59">
        <f t="shared" si="2"/>
        <v>175000</v>
      </c>
      <c r="J49" s="63">
        <v>0</v>
      </c>
      <c r="K49" s="67">
        <v>0</v>
      </c>
      <c r="L49" s="164">
        <v>175000</v>
      </c>
      <c r="M49" s="7"/>
      <c r="N49" s="7"/>
      <c r="O49" s="7"/>
      <c r="P49" s="7"/>
      <c r="Q49" s="7"/>
    </row>
    <row r="50" spans="1:17" ht="16.5" thickBot="1">
      <c r="A50" s="7"/>
      <c r="B50" s="7"/>
      <c r="C50" s="7"/>
      <c r="D50" s="86"/>
      <c r="E50" s="7"/>
      <c r="F50" s="7"/>
      <c r="G50" s="81"/>
      <c r="H50" s="58"/>
      <c r="I50" s="59">
        <f t="shared" si="2"/>
        <v>0</v>
      </c>
      <c r="J50" s="63">
        <f t="shared" si="3"/>
        <v>0</v>
      </c>
      <c r="K50" s="67">
        <f t="shared" si="4"/>
        <v>0</v>
      </c>
      <c r="L50" s="68"/>
      <c r="M50" s="29"/>
      <c r="N50" s="7"/>
      <c r="O50" s="7"/>
      <c r="P50" s="7"/>
      <c r="Q50" s="7"/>
    </row>
    <row r="51" spans="1:17" ht="45">
      <c r="A51" s="7"/>
      <c r="B51" s="7" t="s">
        <v>102</v>
      </c>
      <c r="C51" s="7" t="s">
        <v>103</v>
      </c>
      <c r="D51" s="86">
        <v>14</v>
      </c>
      <c r="E51" s="7" t="s">
        <v>92</v>
      </c>
      <c r="F51" s="80" t="s">
        <v>110</v>
      </c>
      <c r="G51" s="81">
        <v>1</v>
      </c>
      <c r="H51" s="58">
        <v>50000</v>
      </c>
      <c r="I51" s="59">
        <f t="shared" si="2"/>
        <v>50000</v>
      </c>
      <c r="J51" s="63">
        <f t="shared" si="3"/>
        <v>6500</v>
      </c>
      <c r="K51" s="67">
        <f t="shared" si="4"/>
        <v>56500</v>
      </c>
      <c r="L51" s="165">
        <f>K51</f>
        <v>56500</v>
      </c>
      <c r="M51" s="7"/>
      <c r="N51" s="7"/>
      <c r="O51" s="7"/>
      <c r="P51" s="7"/>
      <c r="Q51" s="7"/>
    </row>
    <row r="52" spans="1:17">
      <c r="A52" s="7"/>
      <c r="B52" s="7"/>
      <c r="C52" s="7"/>
      <c r="D52" s="86"/>
      <c r="E52" s="7"/>
      <c r="F52" s="7"/>
      <c r="G52" s="81"/>
      <c r="H52" s="58"/>
      <c r="I52" s="59">
        <f t="shared" si="2"/>
        <v>0</v>
      </c>
      <c r="J52" s="63">
        <f t="shared" si="3"/>
        <v>0</v>
      </c>
      <c r="K52" s="67">
        <f t="shared" si="4"/>
        <v>0</v>
      </c>
      <c r="L52" s="156"/>
      <c r="M52" s="7"/>
      <c r="N52" s="7"/>
      <c r="O52" s="7"/>
      <c r="P52" s="7"/>
      <c r="Q52" s="7"/>
    </row>
    <row r="53" spans="1:17">
      <c r="A53" s="7"/>
      <c r="B53" s="7" t="s">
        <v>102</v>
      </c>
      <c r="C53" s="7" t="s">
        <v>103</v>
      </c>
      <c r="D53" s="86">
        <v>15</v>
      </c>
      <c r="E53" s="7" t="s">
        <v>92</v>
      </c>
      <c r="F53" s="7" t="s">
        <v>111</v>
      </c>
      <c r="G53" s="81">
        <v>1</v>
      </c>
      <c r="H53" s="58">
        <v>35000</v>
      </c>
      <c r="I53" s="59">
        <f t="shared" si="2"/>
        <v>35000</v>
      </c>
      <c r="J53" s="63">
        <f t="shared" si="3"/>
        <v>4550</v>
      </c>
      <c r="K53" s="67">
        <f t="shared" si="4"/>
        <v>39550</v>
      </c>
      <c r="L53" s="159">
        <f>K53+K54</f>
        <v>79100</v>
      </c>
      <c r="M53" s="7"/>
      <c r="N53" s="7"/>
      <c r="O53" s="7"/>
      <c r="P53" s="7"/>
      <c r="Q53" s="7"/>
    </row>
    <row r="54" spans="1:17">
      <c r="A54" s="7"/>
      <c r="B54" s="7"/>
      <c r="C54" s="7"/>
      <c r="D54" s="86"/>
      <c r="E54" s="7"/>
      <c r="F54" s="7" t="s">
        <v>112</v>
      </c>
      <c r="G54" s="81">
        <v>1</v>
      </c>
      <c r="H54" s="58">
        <v>35000</v>
      </c>
      <c r="I54" s="59">
        <f t="shared" si="2"/>
        <v>35000</v>
      </c>
      <c r="J54" s="63">
        <f t="shared" si="3"/>
        <v>4550</v>
      </c>
      <c r="K54" s="67">
        <f t="shared" si="4"/>
        <v>39550</v>
      </c>
      <c r="L54" s="161"/>
      <c r="M54" s="7"/>
      <c r="N54" s="7"/>
      <c r="O54" s="7"/>
      <c r="P54" s="7"/>
      <c r="Q54" s="7"/>
    </row>
    <row r="55" spans="1:17">
      <c r="A55" s="7"/>
      <c r="B55" s="7"/>
      <c r="C55" s="7"/>
      <c r="D55" s="86"/>
      <c r="E55" s="7"/>
      <c r="F55" s="7"/>
      <c r="G55" s="81"/>
      <c r="H55" s="58"/>
      <c r="I55" s="59">
        <f t="shared" si="2"/>
        <v>0</v>
      </c>
      <c r="J55" s="63">
        <f t="shared" si="3"/>
        <v>0</v>
      </c>
      <c r="K55" s="67">
        <f t="shared" si="4"/>
        <v>0</v>
      </c>
      <c r="L55" s="156"/>
      <c r="M55" s="7"/>
      <c r="N55" s="7"/>
      <c r="O55" s="7"/>
      <c r="P55" s="7"/>
      <c r="Q55" s="7"/>
    </row>
    <row r="56" spans="1:17">
      <c r="A56" s="7"/>
      <c r="B56" s="7" t="s">
        <v>102</v>
      </c>
      <c r="C56" s="7" t="s">
        <v>103</v>
      </c>
      <c r="D56" s="86">
        <v>16</v>
      </c>
      <c r="E56" s="7" t="s">
        <v>92</v>
      </c>
      <c r="F56" s="7" t="s">
        <v>111</v>
      </c>
      <c r="G56" s="81">
        <v>1</v>
      </c>
      <c r="H56" s="58">
        <v>35000</v>
      </c>
      <c r="I56" s="59">
        <f t="shared" si="2"/>
        <v>35000</v>
      </c>
      <c r="J56" s="63">
        <f t="shared" si="3"/>
        <v>4550</v>
      </c>
      <c r="K56" s="67">
        <f t="shared" si="4"/>
        <v>39550</v>
      </c>
      <c r="L56" s="159">
        <f>K56+K57</f>
        <v>79100</v>
      </c>
      <c r="M56" s="7"/>
      <c r="N56" s="7"/>
      <c r="O56" s="7"/>
      <c r="P56" s="7"/>
      <c r="Q56" s="7"/>
    </row>
    <row r="57" spans="1:17">
      <c r="A57" s="7"/>
      <c r="B57" s="7"/>
      <c r="C57" s="7"/>
      <c r="D57" s="86"/>
      <c r="E57" s="7"/>
      <c r="F57" s="7" t="s">
        <v>112</v>
      </c>
      <c r="G57" s="81">
        <v>1</v>
      </c>
      <c r="H57" s="58">
        <v>35000</v>
      </c>
      <c r="I57" s="59">
        <f t="shared" si="2"/>
        <v>35000</v>
      </c>
      <c r="J57" s="63">
        <f t="shared" si="3"/>
        <v>4550</v>
      </c>
      <c r="K57" s="67">
        <f t="shared" si="4"/>
        <v>39550</v>
      </c>
      <c r="L57" s="161"/>
      <c r="M57" s="7"/>
      <c r="N57" s="7"/>
      <c r="O57" s="7"/>
      <c r="P57" s="7"/>
      <c r="Q57" s="7"/>
    </row>
    <row r="58" spans="1:17">
      <c r="A58" s="7"/>
      <c r="B58" s="7"/>
      <c r="C58" s="7"/>
      <c r="D58" s="86"/>
      <c r="E58" s="7"/>
      <c r="F58" s="7"/>
      <c r="G58" s="81"/>
      <c r="H58" s="58"/>
      <c r="I58" s="59">
        <f t="shared" si="2"/>
        <v>0</v>
      </c>
      <c r="J58" s="63">
        <f t="shared" si="3"/>
        <v>0</v>
      </c>
      <c r="K58" s="67">
        <f t="shared" si="4"/>
        <v>0</v>
      </c>
      <c r="L58" s="156"/>
      <c r="M58" s="7"/>
      <c r="N58" s="7"/>
      <c r="O58" s="7"/>
      <c r="P58" s="7"/>
      <c r="Q58" s="7"/>
    </row>
    <row r="59" spans="1:17">
      <c r="A59" s="7"/>
      <c r="B59" s="7" t="s">
        <v>102</v>
      </c>
      <c r="C59" s="7" t="s">
        <v>103</v>
      </c>
      <c r="D59" s="86">
        <v>17</v>
      </c>
      <c r="E59" s="7" t="s">
        <v>92</v>
      </c>
      <c r="F59" s="7" t="s">
        <v>111</v>
      </c>
      <c r="G59" s="81">
        <v>1</v>
      </c>
      <c r="H59" s="58">
        <v>35000</v>
      </c>
      <c r="I59" s="59">
        <f t="shared" si="2"/>
        <v>35000</v>
      </c>
      <c r="J59" s="63">
        <f t="shared" si="3"/>
        <v>4550</v>
      </c>
      <c r="K59" s="67">
        <f t="shared" si="4"/>
        <v>39550</v>
      </c>
      <c r="L59" s="159">
        <f>K59+K60</f>
        <v>79100</v>
      </c>
      <c r="M59" s="7"/>
      <c r="N59" s="7"/>
      <c r="O59" s="7"/>
      <c r="P59" s="7"/>
      <c r="Q59" s="7"/>
    </row>
    <row r="60" spans="1:17">
      <c r="A60" s="7"/>
      <c r="B60" s="7"/>
      <c r="C60" s="7"/>
      <c r="D60" s="86"/>
      <c r="E60" s="7"/>
      <c r="F60" s="7" t="s">
        <v>112</v>
      </c>
      <c r="G60" s="81">
        <v>1</v>
      </c>
      <c r="H60" s="58">
        <v>35000</v>
      </c>
      <c r="I60" s="59">
        <f t="shared" si="2"/>
        <v>35000</v>
      </c>
      <c r="J60" s="63">
        <f t="shared" si="3"/>
        <v>4550</v>
      </c>
      <c r="K60" s="67">
        <f t="shared" si="4"/>
        <v>39550</v>
      </c>
      <c r="L60" s="161"/>
      <c r="M60" s="7"/>
      <c r="N60" s="7"/>
      <c r="O60" s="7"/>
      <c r="P60" s="7"/>
      <c r="Q60" s="7"/>
    </row>
    <row r="61" spans="1:17">
      <c r="A61" s="7"/>
      <c r="B61" s="7"/>
      <c r="C61" s="7"/>
      <c r="D61" s="86"/>
      <c r="E61" s="7"/>
      <c r="F61" s="7"/>
      <c r="G61" s="81"/>
      <c r="H61" s="58"/>
      <c r="I61" s="59">
        <f t="shared" si="2"/>
        <v>0</v>
      </c>
      <c r="J61" s="63">
        <f t="shared" si="3"/>
        <v>0</v>
      </c>
      <c r="K61" s="67">
        <f t="shared" si="4"/>
        <v>0</v>
      </c>
      <c r="L61" s="156"/>
      <c r="M61" s="7"/>
      <c r="N61" s="7"/>
      <c r="O61" s="7"/>
      <c r="P61" s="7"/>
      <c r="Q61" s="7"/>
    </row>
    <row r="62" spans="1:17">
      <c r="A62" s="7"/>
      <c r="B62" s="7" t="s">
        <v>113</v>
      </c>
      <c r="C62" s="7" t="s">
        <v>114</v>
      </c>
      <c r="D62" s="86" t="s">
        <v>64</v>
      </c>
      <c r="E62" s="7" t="s">
        <v>115</v>
      </c>
      <c r="F62" s="7" t="s">
        <v>116</v>
      </c>
      <c r="G62" s="81">
        <v>1</v>
      </c>
      <c r="H62" s="58">
        <v>171681</v>
      </c>
      <c r="I62" s="59">
        <f t="shared" si="2"/>
        <v>171681</v>
      </c>
      <c r="J62" s="63">
        <f t="shared" si="3"/>
        <v>22318.530000000002</v>
      </c>
      <c r="K62" s="67">
        <f t="shared" si="4"/>
        <v>193999.53</v>
      </c>
      <c r="L62" s="156">
        <v>194000</v>
      </c>
      <c r="M62" s="7"/>
      <c r="N62" s="7"/>
      <c r="O62" s="7"/>
      <c r="P62" s="7"/>
      <c r="Q62" s="7"/>
    </row>
    <row r="63" spans="1:17">
      <c r="A63" s="7"/>
      <c r="B63" s="7"/>
      <c r="C63" s="7"/>
      <c r="D63" s="86"/>
      <c r="E63" s="7"/>
      <c r="F63" s="7"/>
      <c r="G63" s="81"/>
      <c r="H63" s="58"/>
      <c r="I63" s="59">
        <f t="shared" si="2"/>
        <v>0</v>
      </c>
      <c r="J63" s="60"/>
      <c r="K63" s="61"/>
      <c r="L63" s="156"/>
      <c r="M63" s="7"/>
      <c r="N63" s="7"/>
      <c r="O63" s="7"/>
      <c r="P63" s="7"/>
      <c r="Q63" s="7"/>
    </row>
    <row r="64" spans="1:17">
      <c r="A64" s="7"/>
      <c r="B64" s="7"/>
      <c r="C64" s="7"/>
      <c r="D64" s="86"/>
      <c r="E64" s="7"/>
      <c r="F64" s="7"/>
      <c r="G64" s="81"/>
      <c r="H64" s="58"/>
      <c r="I64" s="59"/>
      <c r="J64" s="60"/>
      <c r="K64" s="61"/>
      <c r="L64" s="156"/>
      <c r="M64" s="7"/>
      <c r="N64" s="7"/>
      <c r="O64" s="7"/>
      <c r="P64" s="7"/>
      <c r="Q64" s="7"/>
    </row>
    <row r="65" spans="1:17">
      <c r="A65" s="7"/>
      <c r="B65" s="7"/>
      <c r="C65" s="7"/>
      <c r="D65" s="86"/>
      <c r="E65" s="7"/>
      <c r="F65" s="7"/>
      <c r="G65" s="81"/>
      <c r="H65" s="58"/>
      <c r="I65" s="59"/>
      <c r="J65" s="60"/>
      <c r="K65" s="61"/>
      <c r="L65" s="156"/>
      <c r="M65" s="7"/>
      <c r="N65" s="7"/>
      <c r="O65" s="7"/>
      <c r="P65" s="7"/>
      <c r="Q65" s="7"/>
    </row>
    <row r="66" spans="1:17">
      <c r="C66" s="7"/>
      <c r="D66" s="86"/>
      <c r="E66" s="7"/>
      <c r="F66" s="7"/>
      <c r="G66" s="81"/>
      <c r="H66" s="58"/>
      <c r="I66" s="59"/>
      <c r="J66" s="122"/>
      <c r="K66" s="61"/>
      <c r="L66" s="156"/>
      <c r="M66" s="7"/>
      <c r="N66" s="7"/>
      <c r="O66" s="7"/>
      <c r="P66" s="7"/>
      <c r="Q66" s="7"/>
    </row>
    <row r="67" spans="1:17">
      <c r="C67" s="7"/>
      <c r="D67" s="86"/>
      <c r="E67" s="7"/>
      <c r="F67" s="7"/>
      <c r="G67" s="81"/>
      <c r="H67" s="58"/>
      <c r="I67" s="59"/>
      <c r="J67" s="122"/>
      <c r="K67" s="61"/>
      <c r="L67" s="156"/>
      <c r="M67" s="7"/>
      <c r="N67" s="7"/>
      <c r="O67" s="7"/>
      <c r="P67" s="7"/>
      <c r="Q67" s="7"/>
    </row>
    <row r="68" spans="1:17">
      <c r="C68" s="7"/>
      <c r="D68" s="86"/>
      <c r="E68" s="7"/>
      <c r="F68" s="7"/>
      <c r="G68" s="81"/>
      <c r="H68" s="58"/>
      <c r="I68" s="59"/>
      <c r="J68" s="122"/>
      <c r="K68" s="61"/>
      <c r="L68" s="156">
        <f>SUM(L8:L67)</f>
        <v>2354995</v>
      </c>
      <c r="M68" s="7"/>
      <c r="N68" s="7"/>
      <c r="O68" s="7"/>
      <c r="P68" s="7"/>
      <c r="Q68" s="7"/>
    </row>
    <row r="69" spans="1:17">
      <c r="C69" s="7"/>
      <c r="D69" s="86"/>
      <c r="E69" s="7"/>
      <c r="F69" s="7"/>
      <c r="G69" s="81"/>
      <c r="H69" s="58"/>
      <c r="I69" s="59"/>
      <c r="J69" s="122"/>
      <c r="K69" s="61"/>
      <c r="L69" s="156"/>
      <c r="M69" s="7"/>
      <c r="N69" s="7"/>
      <c r="O69" s="7"/>
      <c r="P69" s="7"/>
      <c r="Q69" s="7"/>
    </row>
    <row r="70" spans="1:17">
      <c r="C70" s="7"/>
      <c r="D70" s="86"/>
      <c r="E70" s="7"/>
      <c r="F70" s="7"/>
      <c r="G70" s="81"/>
      <c r="H70" s="58"/>
      <c r="I70" s="59"/>
      <c r="J70" s="122"/>
      <c r="K70" s="61"/>
      <c r="L70" s="156"/>
      <c r="M70" s="7"/>
      <c r="N70" s="7"/>
      <c r="O70" s="7"/>
      <c r="P70" s="7"/>
      <c r="Q70" s="7"/>
    </row>
    <row r="71" spans="1:17">
      <c r="C71" s="7"/>
      <c r="D71" s="86"/>
      <c r="E71" s="7"/>
      <c r="F71" s="7"/>
      <c r="G71" s="81"/>
      <c r="H71" s="58"/>
      <c r="I71" s="59"/>
      <c r="J71" s="122"/>
      <c r="K71" s="61"/>
      <c r="L71" s="156"/>
      <c r="M71" s="7"/>
      <c r="N71" s="7"/>
      <c r="O71" s="7"/>
      <c r="P71" s="7"/>
      <c r="Q71" s="7"/>
    </row>
    <row r="72" spans="1:17">
      <c r="C72" s="7"/>
      <c r="D72" s="86"/>
      <c r="E72" s="7"/>
      <c r="F72" s="7"/>
      <c r="G72" s="81"/>
      <c r="H72" s="58"/>
      <c r="I72" s="59"/>
      <c r="J72" s="122"/>
      <c r="K72" s="61"/>
      <c r="L72" s="156"/>
      <c r="M72" s="7"/>
      <c r="N72" s="7"/>
      <c r="O72" s="7"/>
      <c r="P72" s="7"/>
      <c r="Q72" s="7"/>
    </row>
    <row r="73" spans="1:17">
      <c r="C73" s="7"/>
      <c r="D73" s="86"/>
      <c r="E73" s="7"/>
      <c r="F73" s="7"/>
      <c r="G73" s="81"/>
      <c r="H73" s="58"/>
      <c r="I73" s="59"/>
      <c r="J73" s="122"/>
      <c r="K73" s="61"/>
      <c r="L73" s="156"/>
      <c r="M73" s="7"/>
      <c r="N73" s="7"/>
      <c r="O73" s="7"/>
      <c r="P73" s="7"/>
      <c r="Q73" s="7"/>
    </row>
    <row r="74" spans="1:17">
      <c r="C74" s="7"/>
      <c r="D74" s="86"/>
      <c r="E74" s="7"/>
      <c r="F74" s="7"/>
      <c r="G74" s="81"/>
      <c r="H74" s="58"/>
      <c r="I74" s="59"/>
      <c r="J74" s="122"/>
      <c r="K74" s="61"/>
      <c r="L74" s="156"/>
      <c r="M74" s="7"/>
      <c r="N74" s="7"/>
      <c r="O74" s="7"/>
      <c r="P74" s="7"/>
      <c r="Q74" s="7"/>
    </row>
    <row r="75" spans="1:17">
      <c r="C75" s="7"/>
      <c r="D75" s="86"/>
      <c r="E75" s="7"/>
      <c r="F75" s="7"/>
      <c r="G75" s="81"/>
      <c r="H75" s="58"/>
      <c r="I75" s="59"/>
      <c r="J75" s="122"/>
      <c r="K75" s="61"/>
      <c r="L75" s="156"/>
      <c r="M75" s="7"/>
      <c r="N75" s="7"/>
      <c r="O75" s="7"/>
      <c r="P75" s="7"/>
      <c r="Q75" s="7"/>
    </row>
    <row r="76" spans="1:17">
      <c r="C76" s="7"/>
      <c r="D76" s="86"/>
      <c r="E76" s="7"/>
      <c r="F76" s="7"/>
      <c r="G76" s="81"/>
      <c r="H76" s="58"/>
      <c r="I76" s="59"/>
      <c r="J76" s="122"/>
      <c r="K76" s="61"/>
      <c r="L76" s="156"/>
      <c r="M76" s="7"/>
      <c r="N76" s="7"/>
      <c r="O76" s="7"/>
      <c r="P76" s="7"/>
      <c r="Q76" s="7"/>
    </row>
    <row r="77" spans="1:17">
      <c r="C77" s="7"/>
      <c r="D77" s="86"/>
      <c r="E77" s="7"/>
      <c r="F77" s="7"/>
      <c r="G77" s="81"/>
      <c r="H77" s="58"/>
      <c r="I77" s="59"/>
      <c r="J77" s="122"/>
      <c r="K77" s="61"/>
      <c r="L77" s="156"/>
      <c r="M77" s="7"/>
      <c r="N77" s="7"/>
      <c r="O77" s="7"/>
      <c r="P77" s="7"/>
      <c r="Q77" s="7"/>
    </row>
    <row r="78" spans="1:17">
      <c r="C78" s="7"/>
      <c r="D78" s="86"/>
      <c r="E78" s="7"/>
      <c r="F78" s="7"/>
      <c r="G78" s="81"/>
      <c r="H78" s="58"/>
      <c r="I78" s="59"/>
      <c r="J78" s="122"/>
      <c r="K78" s="61"/>
      <c r="L78" s="156"/>
      <c r="M78" s="7"/>
      <c r="N78" s="7"/>
      <c r="O78" s="7"/>
      <c r="P78" s="7"/>
      <c r="Q78" s="7"/>
    </row>
    <row r="79" spans="1:17">
      <c r="C79" s="7"/>
      <c r="D79" s="86"/>
      <c r="E79" s="7"/>
      <c r="F79" s="7"/>
      <c r="G79" s="81"/>
      <c r="H79" s="58"/>
      <c r="I79" s="59"/>
      <c r="J79" s="122"/>
      <c r="K79" s="61"/>
      <c r="L79" s="156"/>
      <c r="M79" s="7"/>
      <c r="N79" s="7"/>
      <c r="O79" s="7"/>
      <c r="P79" s="7"/>
      <c r="Q79" s="7"/>
    </row>
    <row r="80" spans="1:17">
      <c r="C80" s="7"/>
      <c r="D80" s="86"/>
      <c r="E80" s="7"/>
      <c r="F80" s="7"/>
      <c r="G80" s="81"/>
      <c r="H80" s="58"/>
      <c r="I80" s="59"/>
      <c r="J80" s="122"/>
      <c r="K80" s="61"/>
      <c r="L80" s="156"/>
      <c r="M80" s="7"/>
      <c r="N80" s="7"/>
      <c r="O80" s="7"/>
      <c r="P80" s="7"/>
      <c r="Q80" s="7"/>
    </row>
    <row r="81" spans="3:17">
      <c r="C81" s="7"/>
      <c r="D81" s="86"/>
      <c r="E81" s="7"/>
      <c r="F81" s="7"/>
      <c r="G81" s="81"/>
      <c r="H81" s="58"/>
      <c r="I81" s="59"/>
      <c r="J81" s="122"/>
      <c r="K81" s="61"/>
      <c r="L81" s="156"/>
      <c r="M81" s="7"/>
      <c r="N81" s="7"/>
      <c r="O81" s="7"/>
      <c r="P81" s="7"/>
      <c r="Q81" s="7"/>
    </row>
  </sheetData>
  <mergeCells count="18">
    <mergeCell ref="L53:L54"/>
    <mergeCell ref="L56:L57"/>
    <mergeCell ref="L59:L60"/>
    <mergeCell ref="L30:L32"/>
    <mergeCell ref="L40:L41"/>
    <mergeCell ref="L46:L47"/>
    <mergeCell ref="L42:L43"/>
    <mergeCell ref="L8:L9"/>
    <mergeCell ref="K21:K22"/>
    <mergeCell ref="L21:L22"/>
    <mergeCell ref="L27:L28"/>
    <mergeCell ref="A1:T3"/>
    <mergeCell ref="A5:A6"/>
    <mergeCell ref="B5:B6"/>
    <mergeCell ref="C5:C6"/>
    <mergeCell ref="E5:E6"/>
    <mergeCell ref="F5:F6"/>
    <mergeCell ref="M5:P5"/>
  </mergeCells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3"/>
  <sheetViews>
    <sheetView topLeftCell="A4" workbookViewId="0">
      <selection activeCell="H16" sqref="H16"/>
    </sheetView>
  </sheetViews>
  <sheetFormatPr defaultRowHeight="15.75"/>
  <cols>
    <col min="1" max="1" width="4.5703125" customWidth="1"/>
    <col min="4" max="4" width="36.42578125" customWidth="1"/>
    <col min="5" max="5" width="13.28515625" style="93" customWidth="1"/>
    <col min="8" max="8" width="19.42578125" style="102" bestFit="1" customWidth="1"/>
    <col min="9" max="9" width="10.5703125" style="97" bestFit="1" customWidth="1"/>
    <col min="10" max="10" width="15.85546875" customWidth="1"/>
  </cols>
  <sheetData>
    <row r="1" spans="1:16" ht="15">
      <c r="A1" s="142" t="s">
        <v>58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4"/>
      <c r="O1" s="7"/>
      <c r="P1" s="7"/>
    </row>
    <row r="2" spans="1:16" ht="15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7"/>
      <c r="O2" s="7"/>
      <c r="P2" s="7"/>
    </row>
    <row r="3" spans="1:16" ht="1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  <c r="O3" s="7"/>
      <c r="P3" s="7"/>
    </row>
    <row r="4" spans="1:16" ht="16.5" thickBot="1">
      <c r="A4" s="34"/>
      <c r="B4" s="34"/>
      <c r="C4" s="34"/>
      <c r="D4" s="34"/>
      <c r="E4" s="89"/>
      <c r="F4" s="34"/>
      <c r="G4" s="34"/>
      <c r="H4" s="98"/>
      <c r="I4" s="94"/>
      <c r="J4" s="7"/>
      <c r="K4" s="7"/>
      <c r="L4" s="7"/>
      <c r="M4" s="7"/>
      <c r="N4" s="7"/>
      <c r="O4" s="7"/>
      <c r="P4" s="7"/>
    </row>
    <row r="5" spans="1:16" ht="16.5" thickBot="1">
      <c r="A5" s="37" t="s">
        <v>59</v>
      </c>
      <c r="B5" s="36" t="s">
        <v>60</v>
      </c>
      <c r="C5" s="36" t="s">
        <v>3</v>
      </c>
      <c r="D5" s="36" t="s">
        <v>61</v>
      </c>
      <c r="E5" s="90" t="s">
        <v>13</v>
      </c>
      <c r="F5" s="36" t="s">
        <v>51</v>
      </c>
      <c r="G5" s="36" t="s">
        <v>62</v>
      </c>
      <c r="H5" s="99" t="s">
        <v>63</v>
      </c>
      <c r="I5" s="103" t="s">
        <v>123</v>
      </c>
      <c r="J5" s="29"/>
      <c r="K5" s="7"/>
      <c r="L5" s="7"/>
      <c r="M5" s="7"/>
      <c r="N5" s="7"/>
      <c r="O5" s="7"/>
      <c r="P5" s="7"/>
    </row>
    <row r="6" spans="1:16">
      <c r="A6" s="35"/>
      <c r="B6" s="35"/>
      <c r="C6" s="35"/>
      <c r="D6" s="35"/>
      <c r="E6" s="91"/>
      <c r="F6" s="35"/>
      <c r="G6" s="35"/>
      <c r="H6" s="100"/>
      <c r="I6" s="95"/>
      <c r="J6" s="7"/>
      <c r="K6" s="7"/>
      <c r="L6" s="7"/>
      <c r="M6" s="7"/>
      <c r="N6" s="7"/>
      <c r="O6" s="7"/>
      <c r="P6" s="7"/>
    </row>
    <row r="7" spans="1:16">
      <c r="A7" s="35"/>
      <c r="B7" s="35" t="s">
        <v>129</v>
      </c>
      <c r="C7" s="35" t="s">
        <v>127</v>
      </c>
      <c r="D7" s="35" t="s">
        <v>128</v>
      </c>
      <c r="E7" s="91">
        <v>100000</v>
      </c>
      <c r="F7" s="35"/>
      <c r="G7" s="35"/>
      <c r="H7" s="100" t="s">
        <v>124</v>
      </c>
      <c r="I7" s="95" t="s">
        <v>139</v>
      </c>
      <c r="J7" s="7"/>
      <c r="K7" s="7"/>
      <c r="L7" s="7"/>
      <c r="M7" s="7"/>
      <c r="N7" s="7"/>
      <c r="O7" s="7"/>
      <c r="P7" s="7"/>
    </row>
    <row r="8" spans="1:16">
      <c r="A8" s="35"/>
      <c r="B8" s="35" t="s">
        <v>147</v>
      </c>
      <c r="C8" s="35" t="s">
        <v>146</v>
      </c>
      <c r="D8" s="35" t="s">
        <v>148</v>
      </c>
      <c r="E8" s="91">
        <v>50000</v>
      </c>
      <c r="F8" s="35"/>
      <c r="G8" s="35"/>
      <c r="H8" s="100" t="s">
        <v>124</v>
      </c>
      <c r="I8" s="95" t="s">
        <v>122</v>
      </c>
      <c r="J8" s="7"/>
      <c r="K8" s="7"/>
      <c r="L8" s="7"/>
      <c r="M8" s="7"/>
      <c r="N8" s="7"/>
      <c r="O8" s="7"/>
      <c r="P8" s="7"/>
    </row>
    <row r="9" spans="1:16">
      <c r="A9" s="35"/>
      <c r="B9" s="35" t="s">
        <v>142</v>
      </c>
      <c r="C9" s="35" t="s">
        <v>140</v>
      </c>
      <c r="D9" s="35" t="s">
        <v>141</v>
      </c>
      <c r="E9" s="91">
        <v>190657</v>
      </c>
      <c r="F9" s="35"/>
      <c r="G9" s="35"/>
      <c r="H9" s="100" t="s">
        <v>144</v>
      </c>
      <c r="I9" s="95" t="s">
        <v>139</v>
      </c>
      <c r="J9" s="7" t="s">
        <v>157</v>
      </c>
      <c r="K9" s="7"/>
      <c r="L9" s="7"/>
      <c r="M9" s="7"/>
      <c r="N9" s="7"/>
      <c r="O9" s="7"/>
      <c r="P9" s="7"/>
    </row>
    <row r="10" spans="1:16">
      <c r="A10" s="35"/>
      <c r="B10" s="35" t="s">
        <v>82</v>
      </c>
      <c r="C10" s="35" t="s">
        <v>77</v>
      </c>
      <c r="D10" s="35" t="s">
        <v>156</v>
      </c>
      <c r="E10" s="91">
        <v>3390</v>
      </c>
      <c r="F10" s="35"/>
      <c r="G10" s="35"/>
      <c r="H10" s="100"/>
      <c r="I10" s="95" t="s">
        <v>139</v>
      </c>
      <c r="J10" s="7"/>
      <c r="K10" s="7"/>
      <c r="L10" s="7"/>
      <c r="M10" s="7"/>
      <c r="N10" s="7"/>
      <c r="O10" s="7"/>
      <c r="P10" s="7"/>
    </row>
    <row r="11" spans="1:16">
      <c r="A11" s="35"/>
      <c r="B11" s="35" t="s">
        <v>54</v>
      </c>
      <c r="C11" s="35" t="s">
        <v>118</v>
      </c>
      <c r="D11" s="35" t="s">
        <v>154</v>
      </c>
      <c r="E11" s="91">
        <v>200000</v>
      </c>
      <c r="F11" s="35"/>
      <c r="G11" s="35"/>
      <c r="H11" s="100" t="s">
        <v>136</v>
      </c>
      <c r="I11" s="95" t="s">
        <v>139</v>
      </c>
      <c r="J11" s="7"/>
      <c r="K11" s="7"/>
      <c r="L11" s="7"/>
      <c r="M11" s="7"/>
      <c r="N11" s="7"/>
      <c r="O11" s="7"/>
      <c r="P11" s="7"/>
    </row>
    <row r="12" spans="1:16">
      <c r="A12" s="35"/>
      <c r="B12" s="35" t="s">
        <v>81</v>
      </c>
      <c r="C12" s="35" t="s">
        <v>74</v>
      </c>
      <c r="D12" s="35" t="s">
        <v>79</v>
      </c>
      <c r="E12" s="91">
        <v>3700</v>
      </c>
      <c r="F12" s="35"/>
      <c r="G12" s="35"/>
      <c r="H12" s="100" t="s">
        <v>124</v>
      </c>
      <c r="I12" s="95" t="s">
        <v>139</v>
      </c>
      <c r="J12" s="7"/>
      <c r="K12" s="7"/>
      <c r="L12" s="7"/>
      <c r="M12" s="7"/>
      <c r="N12" s="7"/>
      <c r="O12" s="7"/>
      <c r="P12" s="7"/>
    </row>
    <row r="13" spans="1:16">
      <c r="A13" s="35"/>
      <c r="B13" s="35" t="s">
        <v>131</v>
      </c>
      <c r="C13" s="35" t="s">
        <v>130</v>
      </c>
      <c r="D13" s="35" t="s">
        <v>128</v>
      </c>
      <c r="E13" s="91">
        <v>27000</v>
      </c>
      <c r="F13" s="35"/>
      <c r="G13" s="35"/>
      <c r="H13" s="100" t="s">
        <v>124</v>
      </c>
      <c r="I13" s="95" t="s">
        <v>139</v>
      </c>
      <c r="J13" s="7"/>
      <c r="K13" s="7"/>
      <c r="L13" s="7"/>
      <c r="M13" s="7"/>
      <c r="N13" s="7"/>
      <c r="O13" s="7"/>
      <c r="P13" s="7"/>
    </row>
    <row r="14" spans="1:16">
      <c r="A14" s="35"/>
      <c r="B14" s="35" t="s">
        <v>134</v>
      </c>
      <c r="C14" s="35" t="s">
        <v>132</v>
      </c>
      <c r="D14" s="35" t="s">
        <v>128</v>
      </c>
      <c r="E14" s="91">
        <v>100000</v>
      </c>
      <c r="F14" s="35"/>
      <c r="G14" s="35"/>
      <c r="H14" s="100" t="s">
        <v>124</v>
      </c>
      <c r="I14" s="95" t="s">
        <v>122</v>
      </c>
      <c r="J14" s="7"/>
      <c r="K14" s="7"/>
      <c r="L14" s="7"/>
      <c r="M14" s="7"/>
      <c r="N14" s="7"/>
      <c r="O14" s="7"/>
      <c r="P14" s="7"/>
    </row>
    <row r="15" spans="1:16">
      <c r="A15" s="35"/>
      <c r="B15" s="35" t="s">
        <v>135</v>
      </c>
      <c r="C15" s="35" t="s">
        <v>133</v>
      </c>
      <c r="D15" s="35" t="s">
        <v>128</v>
      </c>
      <c r="E15" s="91">
        <v>50000</v>
      </c>
      <c r="F15" s="35"/>
      <c r="G15" s="35"/>
      <c r="H15" s="100" t="s">
        <v>137</v>
      </c>
      <c r="I15" s="95" t="s">
        <v>122</v>
      </c>
      <c r="J15" s="7"/>
      <c r="K15" s="7"/>
      <c r="L15" s="7"/>
      <c r="M15" s="7"/>
      <c r="N15" s="7"/>
      <c r="O15" s="7"/>
      <c r="P15" s="7"/>
    </row>
    <row r="16" spans="1:16">
      <c r="A16" s="7"/>
      <c r="B16" s="7" t="s">
        <v>125</v>
      </c>
      <c r="C16" s="7" t="s">
        <v>119</v>
      </c>
      <c r="D16" s="7" t="s">
        <v>121</v>
      </c>
      <c r="E16" s="92">
        <v>50000</v>
      </c>
      <c r="F16" s="7"/>
      <c r="G16" s="7"/>
      <c r="H16" s="101" t="s">
        <v>124</v>
      </c>
      <c r="I16" s="96" t="s">
        <v>122</v>
      </c>
      <c r="J16" s="7"/>
      <c r="K16" s="7"/>
      <c r="L16" s="7"/>
      <c r="M16" s="7"/>
      <c r="N16" s="7"/>
      <c r="O16" s="7"/>
      <c r="P16" s="7"/>
    </row>
    <row r="17" spans="1:16">
      <c r="A17" s="7"/>
      <c r="B17" s="7" t="s">
        <v>145</v>
      </c>
      <c r="C17" s="7" t="s">
        <v>143</v>
      </c>
      <c r="D17" s="7" t="s">
        <v>141</v>
      </c>
      <c r="E17" s="92">
        <v>353447</v>
      </c>
      <c r="F17" s="7"/>
      <c r="G17" s="7"/>
      <c r="H17" s="101" t="s">
        <v>144</v>
      </c>
      <c r="I17" s="96" t="s">
        <v>139</v>
      </c>
      <c r="J17" s="7" t="s">
        <v>158</v>
      </c>
      <c r="K17" s="7"/>
      <c r="L17" s="7"/>
      <c r="M17" s="7"/>
      <c r="N17" s="7"/>
      <c r="O17" s="7"/>
      <c r="P17" s="7"/>
    </row>
    <row r="18" spans="1:16">
      <c r="A18" s="7"/>
      <c r="B18" s="7" t="s">
        <v>113</v>
      </c>
      <c r="C18" s="7" t="s">
        <v>114</v>
      </c>
      <c r="D18" s="7" t="s">
        <v>148</v>
      </c>
      <c r="E18" s="92">
        <v>50000</v>
      </c>
      <c r="F18" s="7"/>
      <c r="G18" s="7"/>
      <c r="H18" s="101" t="s">
        <v>124</v>
      </c>
      <c r="I18" s="96" t="s">
        <v>122</v>
      </c>
      <c r="J18" s="7"/>
      <c r="K18" s="7"/>
      <c r="L18" s="7"/>
      <c r="M18" s="7"/>
      <c r="N18" s="7"/>
      <c r="O18" s="7"/>
      <c r="P18" s="7"/>
    </row>
    <row r="19" spans="1:16">
      <c r="A19" s="7"/>
      <c r="B19" s="7" t="s">
        <v>126</v>
      </c>
      <c r="C19" s="7" t="s">
        <v>120</v>
      </c>
      <c r="D19" s="7" t="s">
        <v>121</v>
      </c>
      <c r="E19" s="92">
        <v>50000</v>
      </c>
      <c r="F19" s="7"/>
      <c r="G19" s="7"/>
      <c r="H19" s="101" t="s">
        <v>124</v>
      </c>
      <c r="I19" s="96" t="s">
        <v>122</v>
      </c>
      <c r="J19" s="7"/>
      <c r="K19" s="7"/>
      <c r="L19" s="7"/>
      <c r="M19" s="7"/>
      <c r="N19" s="7"/>
      <c r="O19" s="7"/>
      <c r="P19" s="7"/>
    </row>
    <row r="20" spans="1:16">
      <c r="A20" s="7"/>
      <c r="B20" s="7" t="s">
        <v>126</v>
      </c>
      <c r="C20" s="7" t="s">
        <v>120</v>
      </c>
      <c r="D20" s="7" t="s">
        <v>149</v>
      </c>
      <c r="E20" s="92">
        <v>50000</v>
      </c>
      <c r="F20" s="7"/>
      <c r="G20" s="7"/>
      <c r="H20" s="101" t="s">
        <v>124</v>
      </c>
      <c r="I20" s="96" t="s">
        <v>122</v>
      </c>
      <c r="J20" s="7"/>
      <c r="K20" s="7"/>
      <c r="L20" s="7"/>
      <c r="M20" s="7"/>
      <c r="N20" s="7"/>
      <c r="O20" s="7"/>
      <c r="P20" s="7"/>
    </row>
    <row r="21" spans="1:16">
      <c r="A21" s="7"/>
      <c r="B21" s="7" t="s">
        <v>106</v>
      </c>
      <c r="C21" s="7" t="s">
        <v>107</v>
      </c>
      <c r="D21" s="7" t="s">
        <v>155</v>
      </c>
      <c r="E21" s="92">
        <v>175000</v>
      </c>
      <c r="F21" s="7"/>
      <c r="G21" s="7"/>
      <c r="H21" s="101" t="s">
        <v>124</v>
      </c>
      <c r="I21" s="96" t="s">
        <v>139</v>
      </c>
      <c r="J21" s="7"/>
      <c r="K21" s="7"/>
      <c r="L21" s="7"/>
      <c r="M21" s="7"/>
      <c r="N21" s="7"/>
      <c r="O21" s="7"/>
      <c r="P21" s="7"/>
    </row>
    <row r="22" spans="1:16">
      <c r="A22" s="7"/>
      <c r="B22" s="7" t="s">
        <v>151</v>
      </c>
      <c r="C22" s="7" t="s">
        <v>150</v>
      </c>
      <c r="D22" s="7" t="s">
        <v>152</v>
      </c>
      <c r="E22" s="92">
        <v>47945</v>
      </c>
      <c r="F22" s="7"/>
      <c r="G22" s="7"/>
      <c r="H22" s="101" t="s">
        <v>144</v>
      </c>
      <c r="I22" s="96" t="s">
        <v>138</v>
      </c>
      <c r="J22" s="7" t="s">
        <v>153</v>
      </c>
      <c r="K22" s="7"/>
      <c r="L22" s="7"/>
      <c r="M22" s="7"/>
      <c r="N22" s="7"/>
      <c r="O22" s="7"/>
      <c r="P22" s="7"/>
    </row>
    <row r="23" spans="1:16">
      <c r="A23" s="7"/>
      <c r="B23" s="7" t="s">
        <v>160</v>
      </c>
      <c r="C23" s="7" t="s">
        <v>159</v>
      </c>
      <c r="D23" s="7" t="s">
        <v>149</v>
      </c>
      <c r="E23" s="92">
        <v>100000</v>
      </c>
      <c r="F23" s="7"/>
      <c r="G23" s="7"/>
      <c r="H23" s="101" t="s">
        <v>136</v>
      </c>
      <c r="I23" s="96" t="s">
        <v>122</v>
      </c>
      <c r="J23" s="7"/>
      <c r="K23" s="7"/>
      <c r="L23" s="7"/>
      <c r="M23" s="7"/>
      <c r="N23" s="7"/>
      <c r="O23" s="7"/>
      <c r="P23" s="7"/>
    </row>
    <row r="24" spans="1:16">
      <c r="A24" s="7"/>
      <c r="B24" s="7"/>
      <c r="C24" s="7"/>
      <c r="D24" s="7"/>
      <c r="E24" s="92"/>
      <c r="F24" s="7"/>
      <c r="G24" s="7"/>
      <c r="H24" s="101"/>
      <c r="I24" s="96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92"/>
      <c r="F25" s="7"/>
      <c r="G25" s="7"/>
      <c r="H25" s="101"/>
      <c r="I25" s="96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92"/>
      <c r="F26" s="7"/>
      <c r="G26" s="7"/>
      <c r="H26" s="101"/>
      <c r="I26" s="96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92"/>
      <c r="F27" s="7"/>
      <c r="G27" s="7"/>
      <c r="H27" s="101"/>
      <c r="I27" s="96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92"/>
      <c r="F28" s="7"/>
      <c r="G28" s="7"/>
      <c r="H28" s="101"/>
      <c r="I28" s="96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92"/>
      <c r="F29" s="7"/>
      <c r="G29" s="7"/>
      <c r="H29" s="101"/>
      <c r="I29" s="96"/>
      <c r="J29" s="7"/>
      <c r="K29" s="7"/>
      <c r="L29" s="7"/>
      <c r="M29" s="7"/>
      <c r="N29" s="7"/>
      <c r="O29" s="7"/>
      <c r="P29" s="7"/>
    </row>
    <row r="30" spans="1:16">
      <c r="A30" s="7"/>
      <c r="B30" s="7"/>
      <c r="C30" s="7"/>
      <c r="D30" s="7"/>
      <c r="E30" s="92"/>
      <c r="F30" s="7"/>
      <c r="G30" s="7"/>
      <c r="H30" s="101"/>
      <c r="I30" s="96"/>
      <c r="J30" s="7"/>
      <c r="K30" s="7"/>
      <c r="L30" s="7"/>
      <c r="M30" s="7"/>
      <c r="N30" s="7"/>
      <c r="O30" s="7"/>
      <c r="P30" s="7"/>
    </row>
    <row r="31" spans="1:16">
      <c r="A31" s="7"/>
      <c r="B31" s="7"/>
      <c r="C31" s="7"/>
      <c r="D31" s="7"/>
      <c r="E31" s="92"/>
      <c r="F31" s="7"/>
      <c r="G31" s="7"/>
      <c r="H31" s="101"/>
      <c r="I31" s="96"/>
      <c r="J31" s="7"/>
      <c r="K31" s="7"/>
      <c r="L31" s="7"/>
      <c r="M31" s="7"/>
      <c r="N31" s="7"/>
      <c r="O31" s="7"/>
      <c r="P31" s="7"/>
    </row>
    <row r="32" spans="1:16">
      <c r="A32" s="7"/>
      <c r="B32" s="7"/>
      <c r="C32" s="7"/>
      <c r="D32" s="7"/>
      <c r="E32" s="92">
        <f>SUM(E7:E31)</f>
        <v>1601139</v>
      </c>
      <c r="F32" s="7"/>
      <c r="G32" s="7"/>
      <c r="H32" s="101"/>
      <c r="I32" s="96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92"/>
      <c r="F33" s="7"/>
      <c r="G33" s="7"/>
      <c r="H33" s="101"/>
      <c r="I33" s="96"/>
      <c r="J33" s="7"/>
      <c r="K33" s="7"/>
      <c r="L33" s="7"/>
      <c r="M33" s="7"/>
      <c r="N33" s="7"/>
      <c r="O33" s="7"/>
      <c r="P33" s="7"/>
    </row>
    <row r="34" spans="1:16">
      <c r="A34" s="7"/>
      <c r="B34" s="7"/>
      <c r="C34" s="7"/>
      <c r="D34" s="7"/>
      <c r="E34" s="92"/>
      <c r="F34" s="7"/>
      <c r="G34" s="7"/>
      <c r="H34" s="101"/>
      <c r="I34" s="96"/>
      <c r="J34" s="7"/>
      <c r="K34" s="7"/>
      <c r="L34" s="7"/>
      <c r="M34" s="7"/>
      <c r="N34" s="7"/>
      <c r="O34" s="7"/>
      <c r="P34" s="7"/>
    </row>
    <row r="35" spans="1:16">
      <c r="A35" s="7"/>
      <c r="B35" s="7"/>
      <c r="C35" s="7"/>
      <c r="D35" s="7"/>
      <c r="E35" s="92"/>
      <c r="F35" s="7"/>
      <c r="G35" s="7"/>
      <c r="H35" s="101"/>
      <c r="I35" s="96"/>
      <c r="J35" s="7"/>
      <c r="K35" s="7"/>
      <c r="L35" s="7"/>
      <c r="M35" s="7"/>
      <c r="N35" s="7"/>
      <c r="O35" s="7"/>
      <c r="P35" s="7"/>
    </row>
    <row r="36" spans="1:16">
      <c r="A36" s="7"/>
      <c r="B36" s="7"/>
      <c r="C36" s="7"/>
      <c r="D36" s="7"/>
      <c r="E36" s="92"/>
      <c r="F36" s="7"/>
      <c r="G36" s="7"/>
      <c r="H36" s="101"/>
      <c r="I36" s="96"/>
      <c r="J36" s="7"/>
      <c r="K36" s="7"/>
      <c r="L36" s="7"/>
      <c r="M36" s="7"/>
      <c r="N36" s="7"/>
      <c r="O36" s="7"/>
      <c r="P36" s="7"/>
    </row>
    <row r="37" spans="1:16">
      <c r="A37" s="7"/>
      <c r="B37" s="7"/>
      <c r="C37" s="7"/>
      <c r="D37" s="7"/>
      <c r="E37" s="92"/>
      <c r="F37" s="7"/>
      <c r="G37" s="7"/>
      <c r="H37" s="101"/>
      <c r="I37" s="96"/>
      <c r="J37" s="7"/>
      <c r="K37" s="7"/>
      <c r="L37" s="7"/>
      <c r="M37" s="7"/>
      <c r="N37" s="7"/>
      <c r="O37" s="7"/>
      <c r="P37" s="7"/>
    </row>
    <row r="38" spans="1:16">
      <c r="A38" s="7"/>
      <c r="B38" s="7"/>
      <c r="C38" s="7"/>
      <c r="D38" s="7"/>
      <c r="E38" s="92"/>
      <c r="F38" s="7"/>
      <c r="G38" s="7"/>
      <c r="H38" s="101"/>
      <c r="I38" s="96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92"/>
      <c r="F39" s="7"/>
      <c r="G39" s="7"/>
      <c r="H39" s="101"/>
      <c r="I39" s="96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92"/>
      <c r="F40" s="7"/>
      <c r="G40" s="7"/>
      <c r="H40" s="101"/>
      <c r="I40" s="96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92"/>
      <c r="F41" s="7"/>
      <c r="G41" s="7"/>
      <c r="H41" s="101"/>
      <c r="I41" s="96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92"/>
      <c r="F42" s="7"/>
      <c r="G42" s="7"/>
      <c r="H42" s="101"/>
      <c r="I42" s="96"/>
      <c r="J42" s="7"/>
      <c r="K42" s="7"/>
      <c r="L42" s="7"/>
      <c r="M42" s="7"/>
      <c r="N42" s="7"/>
      <c r="O42" s="7"/>
      <c r="P42" s="7"/>
    </row>
    <row r="43" spans="1:16">
      <c r="A43" s="7"/>
      <c r="B43" s="7"/>
      <c r="C43" s="7"/>
      <c r="D43" s="7"/>
      <c r="E43" s="92"/>
      <c r="F43" s="7"/>
      <c r="G43" s="7"/>
      <c r="H43" s="101"/>
      <c r="I43" s="96"/>
      <c r="J43" s="7"/>
      <c r="K43" s="7"/>
      <c r="L43" s="7"/>
      <c r="M43" s="7"/>
      <c r="N43" s="7"/>
      <c r="O43" s="7"/>
      <c r="P43" s="7"/>
    </row>
  </sheetData>
  <mergeCells count="1">
    <mergeCell ref="A1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79-80</vt:lpstr>
      <vt:lpstr>80-81</vt:lpstr>
      <vt:lpstr>PAYMENT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2024-01-10T08:33:05Z</dcterms:modified>
</cp:coreProperties>
</file>